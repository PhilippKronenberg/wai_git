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L:\Groups\Economic Forecasting\Internationale Konjunktur\Sonstiges\WAI\datacollection\traffic\astra_raw_data\"/>
    </mc:Choice>
  </mc:AlternateContent>
  <bookViews>
    <workbookView xWindow="0" yWindow="0" windowWidth="23040" windowHeight="8940" tabRatio="900" activeTab="1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3" i="9" l="1"/>
  <c r="N73" i="9"/>
  <c r="O73" i="9"/>
  <c r="P73" i="9"/>
  <c r="Q73" i="9"/>
  <c r="R73" i="9"/>
  <c r="M74" i="9"/>
  <c r="N74" i="9"/>
  <c r="O74" i="9"/>
  <c r="P74" i="9"/>
  <c r="Q74" i="9"/>
  <c r="R74" i="9"/>
  <c r="M75" i="9"/>
  <c r="N75" i="9"/>
  <c r="O75" i="9"/>
  <c r="P75" i="9"/>
  <c r="Q75" i="9"/>
  <c r="R75" i="9"/>
  <c r="M111" i="9"/>
  <c r="N111" i="9"/>
  <c r="O111" i="9"/>
  <c r="P111" i="9"/>
  <c r="Q111" i="9"/>
  <c r="R111" i="9"/>
  <c r="M112" i="9"/>
  <c r="N112" i="9"/>
  <c r="O112" i="9"/>
  <c r="P112" i="9"/>
  <c r="Q112" i="9"/>
  <c r="R112" i="9"/>
  <c r="M113" i="9"/>
  <c r="N113" i="9"/>
  <c r="O113" i="9"/>
  <c r="P113" i="9"/>
  <c r="Q113" i="9"/>
  <c r="R113" i="9"/>
  <c r="R117" i="9"/>
  <c r="Q117" i="9"/>
  <c r="P117" i="9"/>
  <c r="O117" i="9"/>
  <c r="N117" i="9"/>
  <c r="M117" i="9"/>
  <c r="R116" i="9"/>
  <c r="Q116" i="9"/>
  <c r="P116" i="9"/>
  <c r="O116" i="9"/>
  <c r="N116" i="9"/>
  <c r="M116" i="9"/>
  <c r="R115" i="9"/>
  <c r="Q115" i="9"/>
  <c r="P115" i="9"/>
  <c r="O115" i="9"/>
  <c r="N115" i="9"/>
  <c r="M115" i="9"/>
  <c r="R114" i="9"/>
  <c r="Q114" i="9"/>
  <c r="P114" i="9"/>
  <c r="O114" i="9"/>
  <c r="N114" i="9"/>
  <c r="M114" i="9"/>
  <c r="R79" i="9"/>
  <c r="Q79" i="9"/>
  <c r="P79" i="9"/>
  <c r="O79" i="9"/>
  <c r="N79" i="9"/>
  <c r="M79" i="9"/>
  <c r="R78" i="9"/>
  <c r="Q78" i="9"/>
  <c r="P78" i="9"/>
  <c r="O78" i="9"/>
  <c r="N78" i="9"/>
  <c r="M78" i="9"/>
  <c r="R77" i="9"/>
  <c r="Q77" i="9"/>
  <c r="P77" i="9"/>
  <c r="O77" i="9"/>
  <c r="N77" i="9"/>
  <c r="M77" i="9"/>
  <c r="R76" i="9"/>
  <c r="Q76" i="9"/>
  <c r="P76" i="9"/>
  <c r="O76" i="9"/>
  <c r="N76" i="9"/>
  <c r="M76" i="9"/>
  <c r="Q35" i="9"/>
  <c r="R35" i="9"/>
  <c r="Q36" i="9"/>
  <c r="R36" i="9"/>
  <c r="Q37" i="9"/>
  <c r="R37" i="9"/>
  <c r="Q38" i="9"/>
  <c r="R38" i="9"/>
  <c r="Q39" i="9"/>
  <c r="R39" i="9"/>
  <c r="Q40" i="9"/>
  <c r="R40" i="9"/>
  <c r="Q41" i="9"/>
  <c r="R41" i="9"/>
  <c r="P36" i="9"/>
  <c r="P37" i="9"/>
  <c r="P38" i="9"/>
  <c r="P39" i="9"/>
  <c r="P40" i="9"/>
  <c r="P41" i="9"/>
  <c r="P35" i="9"/>
  <c r="N35" i="9"/>
  <c r="O35" i="9"/>
  <c r="N36" i="9"/>
  <c r="O36" i="9"/>
  <c r="N37" i="9"/>
  <c r="O37" i="9"/>
  <c r="N38" i="9"/>
  <c r="O38" i="9"/>
  <c r="N39" i="9"/>
  <c r="O39" i="9"/>
  <c r="N40" i="9"/>
  <c r="O40" i="9"/>
  <c r="N41" i="9"/>
  <c r="O41" i="9"/>
  <c r="M36" i="9"/>
  <c r="M37" i="9"/>
  <c r="M38" i="9"/>
  <c r="M39" i="9"/>
  <c r="M40" i="9"/>
  <c r="M41" i="9"/>
  <c r="M35" i="9"/>
  <c r="M73" i="10"/>
  <c r="N73" i="10"/>
  <c r="O73" i="10"/>
  <c r="P73" i="10"/>
  <c r="Q73" i="10"/>
  <c r="R73" i="10"/>
  <c r="M74" i="10"/>
  <c r="N74" i="10"/>
  <c r="O74" i="10"/>
  <c r="P74" i="10"/>
  <c r="Q74" i="10"/>
  <c r="R74" i="10"/>
  <c r="M75" i="10"/>
  <c r="N75" i="10"/>
  <c r="O75" i="10"/>
  <c r="P75" i="10"/>
  <c r="Q75" i="10"/>
  <c r="R75" i="10"/>
  <c r="M111" i="10"/>
  <c r="N111" i="10"/>
  <c r="O111" i="10"/>
  <c r="P111" i="10"/>
  <c r="Q111" i="10"/>
  <c r="R111" i="10"/>
  <c r="M112" i="10"/>
  <c r="N112" i="10"/>
  <c r="O112" i="10"/>
  <c r="P112" i="10"/>
  <c r="Q112" i="10"/>
  <c r="R112" i="10"/>
  <c r="M113" i="10"/>
  <c r="N113" i="10"/>
  <c r="O113" i="10"/>
  <c r="P113" i="10"/>
  <c r="Q113" i="10"/>
  <c r="R113" i="10"/>
  <c r="R117" i="10"/>
  <c r="Q117" i="10"/>
  <c r="P117" i="10"/>
  <c r="O117" i="10"/>
  <c r="N117" i="10"/>
  <c r="M117" i="10"/>
  <c r="R116" i="10"/>
  <c r="Q116" i="10"/>
  <c r="P116" i="10"/>
  <c r="O116" i="10"/>
  <c r="N116" i="10"/>
  <c r="M116" i="10"/>
  <c r="R115" i="10"/>
  <c r="Q115" i="10"/>
  <c r="P115" i="10"/>
  <c r="O115" i="10"/>
  <c r="N115" i="10"/>
  <c r="M115" i="10"/>
  <c r="R114" i="10"/>
  <c r="Q114" i="10"/>
  <c r="P114" i="10"/>
  <c r="O114" i="10"/>
  <c r="N114" i="10"/>
  <c r="M114" i="10"/>
  <c r="R79" i="10"/>
  <c r="Q79" i="10"/>
  <c r="P79" i="10"/>
  <c r="O79" i="10"/>
  <c r="N79" i="10"/>
  <c r="M79" i="10"/>
  <c r="R78" i="10"/>
  <c r="Q78" i="10"/>
  <c r="P78" i="10"/>
  <c r="O78" i="10"/>
  <c r="N78" i="10"/>
  <c r="M78" i="10"/>
  <c r="R77" i="10"/>
  <c r="Q77" i="10"/>
  <c r="P77" i="10"/>
  <c r="O77" i="10"/>
  <c r="N77" i="10"/>
  <c r="M77" i="10"/>
  <c r="R76" i="10"/>
  <c r="Q76" i="10"/>
  <c r="P76" i="10"/>
  <c r="O76" i="10"/>
  <c r="N76" i="10"/>
  <c r="M76" i="10"/>
  <c r="Q35" i="10"/>
  <c r="R35" i="10"/>
  <c r="Q36" i="10"/>
  <c r="R36" i="10"/>
  <c r="Q37" i="10"/>
  <c r="R37" i="10"/>
  <c r="Q38" i="10"/>
  <c r="R38" i="10"/>
  <c r="Q39" i="10"/>
  <c r="R39" i="10"/>
  <c r="Q40" i="10"/>
  <c r="R40" i="10"/>
  <c r="Q41" i="10"/>
  <c r="R41" i="10"/>
  <c r="P36" i="10"/>
  <c r="P37" i="10"/>
  <c r="P38" i="10"/>
  <c r="P39" i="10"/>
  <c r="P40" i="10"/>
  <c r="P41" i="10"/>
  <c r="P35" i="10"/>
  <c r="N35" i="10"/>
  <c r="O35" i="10"/>
  <c r="N36" i="10"/>
  <c r="O36" i="10"/>
  <c r="N37" i="10"/>
  <c r="O37" i="10"/>
  <c r="N38" i="10"/>
  <c r="O38" i="10"/>
  <c r="N39" i="10"/>
  <c r="O39" i="10"/>
  <c r="N40" i="10"/>
  <c r="O40" i="10"/>
  <c r="N41" i="10"/>
  <c r="O41" i="10"/>
  <c r="M36" i="10"/>
  <c r="M37" i="10"/>
  <c r="M38" i="10"/>
  <c r="M39" i="10"/>
  <c r="M40" i="10"/>
  <c r="M41" i="10"/>
  <c r="M35" i="10"/>
  <c r="M73" i="8"/>
  <c r="N73" i="8"/>
  <c r="O73" i="8"/>
  <c r="P73" i="8"/>
  <c r="Q73" i="8"/>
  <c r="R73" i="8"/>
  <c r="M74" i="8"/>
  <c r="N74" i="8"/>
  <c r="O74" i="8"/>
  <c r="P74" i="8"/>
  <c r="Q74" i="8"/>
  <c r="R74" i="8"/>
  <c r="M75" i="8"/>
  <c r="N75" i="8"/>
  <c r="O75" i="8"/>
  <c r="P75" i="8"/>
  <c r="Q75" i="8"/>
  <c r="R75" i="8"/>
  <c r="M111" i="8"/>
  <c r="N111" i="8"/>
  <c r="O111" i="8"/>
  <c r="P111" i="8"/>
  <c r="Q111" i="8"/>
  <c r="R111" i="8"/>
  <c r="M112" i="8"/>
  <c r="N112" i="8"/>
  <c r="O112" i="8"/>
  <c r="P112" i="8"/>
  <c r="Q112" i="8"/>
  <c r="R112" i="8"/>
  <c r="M113" i="8"/>
  <c r="N113" i="8"/>
  <c r="O113" i="8"/>
  <c r="P113" i="8"/>
  <c r="Q113" i="8"/>
  <c r="R113" i="8"/>
  <c r="R117" i="8"/>
  <c r="Q117" i="8"/>
  <c r="P117" i="8"/>
  <c r="O117" i="8"/>
  <c r="N117" i="8"/>
  <c r="M117" i="8"/>
  <c r="R116" i="8"/>
  <c r="Q116" i="8"/>
  <c r="P116" i="8"/>
  <c r="O116" i="8"/>
  <c r="N116" i="8"/>
  <c r="M116" i="8"/>
  <c r="R115" i="8"/>
  <c r="Q115" i="8"/>
  <c r="P115" i="8"/>
  <c r="O115" i="8"/>
  <c r="N115" i="8"/>
  <c r="M115" i="8"/>
  <c r="R114" i="8"/>
  <c r="Q114" i="8"/>
  <c r="P114" i="8"/>
  <c r="O114" i="8"/>
  <c r="N114" i="8"/>
  <c r="M114" i="8"/>
  <c r="R79" i="8"/>
  <c r="Q79" i="8"/>
  <c r="P79" i="8"/>
  <c r="O79" i="8"/>
  <c r="N79" i="8"/>
  <c r="M79" i="8"/>
  <c r="R78" i="8"/>
  <c r="Q78" i="8"/>
  <c r="P78" i="8"/>
  <c r="O78" i="8"/>
  <c r="N78" i="8"/>
  <c r="M78" i="8"/>
  <c r="R77" i="8"/>
  <c r="Q77" i="8"/>
  <c r="P77" i="8"/>
  <c r="O77" i="8"/>
  <c r="N77" i="8"/>
  <c r="M77" i="8"/>
  <c r="R76" i="8"/>
  <c r="Q76" i="8"/>
  <c r="P76" i="8"/>
  <c r="O76" i="8"/>
  <c r="N76" i="8"/>
  <c r="M76" i="8"/>
  <c r="Q35" i="8"/>
  <c r="R35" i="8"/>
  <c r="Q36" i="8"/>
  <c r="R36" i="8"/>
  <c r="Q37" i="8"/>
  <c r="R37" i="8"/>
  <c r="Q38" i="8"/>
  <c r="R38" i="8"/>
  <c r="Q39" i="8"/>
  <c r="R39" i="8"/>
  <c r="Q40" i="8"/>
  <c r="R40" i="8"/>
  <c r="Q41" i="8"/>
  <c r="R41" i="8"/>
  <c r="P36" i="8"/>
  <c r="P37" i="8"/>
  <c r="P38" i="8"/>
  <c r="P39" i="8"/>
  <c r="P40" i="8"/>
  <c r="P41" i="8"/>
  <c r="P35" i="8"/>
  <c r="N35" i="8"/>
  <c r="O35" i="8"/>
  <c r="N36" i="8"/>
  <c r="O36" i="8"/>
  <c r="N37" i="8"/>
  <c r="O37" i="8"/>
  <c r="N38" i="8"/>
  <c r="O38" i="8"/>
  <c r="N39" i="8"/>
  <c r="O39" i="8"/>
  <c r="N40" i="8"/>
  <c r="O40" i="8"/>
  <c r="N41" i="8"/>
  <c r="O41" i="8"/>
  <c r="M36" i="8"/>
  <c r="M37" i="8"/>
  <c r="M38" i="8"/>
  <c r="M39" i="8"/>
  <c r="M40" i="8"/>
  <c r="M41" i="8"/>
  <c r="M35" i="8"/>
  <c r="O116" i="7"/>
  <c r="N115" i="7"/>
  <c r="M114" i="7"/>
  <c r="R112" i="7"/>
  <c r="N111" i="7"/>
  <c r="M73" i="7"/>
  <c r="N73" i="7"/>
  <c r="O73" i="7"/>
  <c r="P73" i="7"/>
  <c r="Q73" i="7"/>
  <c r="R73" i="7"/>
  <c r="M74" i="7"/>
  <c r="N74" i="7"/>
  <c r="O74" i="7"/>
  <c r="P74" i="7"/>
  <c r="Q74" i="7"/>
  <c r="R74" i="7"/>
  <c r="M75" i="7"/>
  <c r="N75" i="7"/>
  <c r="O75" i="7"/>
  <c r="P75" i="7"/>
  <c r="Q75" i="7"/>
  <c r="R75" i="7"/>
  <c r="M111" i="7"/>
  <c r="P111" i="7"/>
  <c r="Q111" i="7"/>
  <c r="M112" i="7"/>
  <c r="N112" i="7"/>
  <c r="O112" i="7"/>
  <c r="P112" i="7"/>
  <c r="Q112" i="7"/>
  <c r="M113" i="7"/>
  <c r="N113" i="7"/>
  <c r="P113" i="7"/>
  <c r="Q113" i="7"/>
  <c r="Q117" i="7"/>
  <c r="P117" i="7"/>
  <c r="N117" i="7"/>
  <c r="M117" i="7"/>
  <c r="R116" i="7"/>
  <c r="Q116" i="7"/>
  <c r="P116" i="7"/>
  <c r="N116" i="7"/>
  <c r="M116" i="7"/>
  <c r="P115" i="7"/>
  <c r="M115" i="7"/>
  <c r="Q114" i="7"/>
  <c r="N114" i="7"/>
  <c r="R79" i="7"/>
  <c r="Q79" i="7"/>
  <c r="P79" i="7"/>
  <c r="O79" i="7"/>
  <c r="N79" i="7"/>
  <c r="M79" i="7"/>
  <c r="R78" i="7"/>
  <c r="Q78" i="7"/>
  <c r="P78" i="7"/>
  <c r="O78" i="7"/>
  <c r="N78" i="7"/>
  <c r="M78" i="7"/>
  <c r="R77" i="7"/>
  <c r="Q77" i="7"/>
  <c r="P77" i="7"/>
  <c r="O77" i="7"/>
  <c r="N77" i="7"/>
  <c r="M77" i="7"/>
  <c r="R76" i="7"/>
  <c r="Q76" i="7"/>
  <c r="P76" i="7"/>
  <c r="O76" i="7"/>
  <c r="N76" i="7"/>
  <c r="M76" i="7"/>
  <c r="Q35" i="7"/>
  <c r="R35" i="7"/>
  <c r="Q36" i="7"/>
  <c r="R36" i="7"/>
  <c r="Q37" i="7"/>
  <c r="R37" i="7"/>
  <c r="Q38" i="7"/>
  <c r="R38" i="7"/>
  <c r="Q39" i="7"/>
  <c r="R39" i="7"/>
  <c r="Q40" i="7"/>
  <c r="R40" i="7"/>
  <c r="Q41" i="7"/>
  <c r="R41" i="7"/>
  <c r="P36" i="7"/>
  <c r="P37" i="7"/>
  <c r="P38" i="7"/>
  <c r="P39" i="7"/>
  <c r="P40" i="7"/>
  <c r="P41" i="7"/>
  <c r="P35" i="7"/>
  <c r="N35" i="7"/>
  <c r="O35" i="7"/>
  <c r="N36" i="7"/>
  <c r="O36" i="7"/>
  <c r="N37" i="7"/>
  <c r="O37" i="7"/>
  <c r="N38" i="7"/>
  <c r="O38" i="7"/>
  <c r="N39" i="7"/>
  <c r="O39" i="7"/>
  <c r="N40" i="7"/>
  <c r="O40" i="7"/>
  <c r="N41" i="7"/>
  <c r="O41" i="7"/>
  <c r="M36" i="7"/>
  <c r="M37" i="7"/>
  <c r="M38" i="7"/>
  <c r="M39" i="7"/>
  <c r="M40" i="7"/>
  <c r="M41" i="7"/>
  <c r="M35" i="7"/>
  <c r="M73" i="6"/>
  <c r="N73" i="6"/>
  <c r="O73" i="6"/>
  <c r="P73" i="6"/>
  <c r="Q73" i="6"/>
  <c r="R73" i="6"/>
  <c r="M74" i="6"/>
  <c r="N74" i="6"/>
  <c r="O74" i="6"/>
  <c r="P74" i="6"/>
  <c r="Q74" i="6"/>
  <c r="R74" i="6"/>
  <c r="M75" i="6"/>
  <c r="N75" i="6"/>
  <c r="O75" i="6"/>
  <c r="P75" i="6"/>
  <c r="Q75" i="6"/>
  <c r="R75" i="6"/>
  <c r="M111" i="6"/>
  <c r="N111" i="6"/>
  <c r="O111" i="6"/>
  <c r="P111" i="6"/>
  <c r="Q111" i="6"/>
  <c r="R111" i="6"/>
  <c r="M112" i="6"/>
  <c r="N112" i="6"/>
  <c r="O112" i="6"/>
  <c r="P112" i="6"/>
  <c r="Q112" i="6"/>
  <c r="R112" i="6"/>
  <c r="M113" i="6"/>
  <c r="N113" i="6"/>
  <c r="O113" i="6"/>
  <c r="P113" i="6"/>
  <c r="Q113" i="6"/>
  <c r="R113" i="6"/>
  <c r="R117" i="6"/>
  <c r="Q117" i="6"/>
  <c r="P117" i="6"/>
  <c r="O117" i="6"/>
  <c r="N117" i="6"/>
  <c r="M117" i="6"/>
  <c r="R116" i="6"/>
  <c r="Q116" i="6"/>
  <c r="P116" i="6"/>
  <c r="O116" i="6"/>
  <c r="N116" i="6"/>
  <c r="M116" i="6"/>
  <c r="R115" i="6"/>
  <c r="Q115" i="6"/>
  <c r="P115" i="6"/>
  <c r="O115" i="6"/>
  <c r="N115" i="6"/>
  <c r="M115" i="6"/>
  <c r="R114" i="6"/>
  <c r="Q114" i="6"/>
  <c r="P114" i="6"/>
  <c r="O114" i="6"/>
  <c r="N114" i="6"/>
  <c r="M114" i="6"/>
  <c r="R79" i="6"/>
  <c r="Q79" i="6"/>
  <c r="P79" i="6"/>
  <c r="O79" i="6"/>
  <c r="N79" i="6"/>
  <c r="M79" i="6"/>
  <c r="R78" i="6"/>
  <c r="Q78" i="6"/>
  <c r="P78" i="6"/>
  <c r="O78" i="6"/>
  <c r="N78" i="6"/>
  <c r="M78" i="6"/>
  <c r="R77" i="6"/>
  <c r="Q77" i="6"/>
  <c r="P77" i="6"/>
  <c r="O77" i="6"/>
  <c r="N77" i="6"/>
  <c r="M77" i="6"/>
  <c r="R76" i="6"/>
  <c r="Q76" i="6"/>
  <c r="P76" i="6"/>
  <c r="O76" i="6"/>
  <c r="N76" i="6"/>
  <c r="M76" i="6"/>
  <c r="Q35" i="6"/>
  <c r="R35" i="6"/>
  <c r="Q36" i="6"/>
  <c r="R36" i="6"/>
  <c r="Q37" i="6"/>
  <c r="R37" i="6"/>
  <c r="Q38" i="6"/>
  <c r="R38" i="6"/>
  <c r="Q39" i="6"/>
  <c r="R39" i="6"/>
  <c r="Q40" i="6"/>
  <c r="R40" i="6"/>
  <c r="Q41" i="6"/>
  <c r="R41" i="6"/>
  <c r="P36" i="6"/>
  <c r="P37" i="6"/>
  <c r="P38" i="6"/>
  <c r="P39" i="6"/>
  <c r="P40" i="6"/>
  <c r="P41" i="6"/>
  <c r="P35" i="6"/>
  <c r="N35" i="6"/>
  <c r="O35" i="6"/>
  <c r="N36" i="6"/>
  <c r="O36" i="6"/>
  <c r="N37" i="6"/>
  <c r="O37" i="6"/>
  <c r="N38" i="6"/>
  <c r="O38" i="6"/>
  <c r="N39" i="6"/>
  <c r="O39" i="6"/>
  <c r="N40" i="6"/>
  <c r="O40" i="6"/>
  <c r="N41" i="6"/>
  <c r="O41" i="6"/>
  <c r="M36" i="6"/>
  <c r="M37" i="6"/>
  <c r="M38" i="6"/>
  <c r="M39" i="6"/>
  <c r="M40" i="6"/>
  <c r="M41" i="6"/>
  <c r="M35" i="6"/>
  <c r="M73" i="5"/>
  <c r="N73" i="5"/>
  <c r="O73" i="5"/>
  <c r="P73" i="5"/>
  <c r="Q73" i="5"/>
  <c r="R73" i="5"/>
  <c r="M74" i="5"/>
  <c r="N74" i="5"/>
  <c r="O74" i="5"/>
  <c r="P74" i="5"/>
  <c r="Q74" i="5"/>
  <c r="R74" i="5"/>
  <c r="M75" i="5"/>
  <c r="N75" i="5"/>
  <c r="O75" i="5"/>
  <c r="P75" i="5"/>
  <c r="Q75" i="5"/>
  <c r="R75" i="5"/>
  <c r="M111" i="5"/>
  <c r="N111" i="5"/>
  <c r="O111" i="5"/>
  <c r="P111" i="5"/>
  <c r="Q111" i="5"/>
  <c r="R111" i="5"/>
  <c r="M112" i="5"/>
  <c r="N112" i="5"/>
  <c r="O112" i="5"/>
  <c r="P112" i="5"/>
  <c r="Q112" i="5"/>
  <c r="R112" i="5"/>
  <c r="M113" i="5"/>
  <c r="N113" i="5"/>
  <c r="O113" i="5"/>
  <c r="P113" i="5"/>
  <c r="Q113" i="5"/>
  <c r="R113" i="5"/>
  <c r="R117" i="5"/>
  <c r="Q117" i="5"/>
  <c r="P117" i="5"/>
  <c r="O117" i="5"/>
  <c r="N117" i="5"/>
  <c r="M117" i="5"/>
  <c r="R116" i="5"/>
  <c r="Q116" i="5"/>
  <c r="P116" i="5"/>
  <c r="O116" i="5"/>
  <c r="N116" i="5"/>
  <c r="M116" i="5"/>
  <c r="R115" i="5"/>
  <c r="Q115" i="5"/>
  <c r="P115" i="5"/>
  <c r="O115" i="5"/>
  <c r="N115" i="5"/>
  <c r="M115" i="5"/>
  <c r="R114" i="5"/>
  <c r="Q114" i="5"/>
  <c r="P114" i="5"/>
  <c r="O114" i="5"/>
  <c r="N114" i="5"/>
  <c r="M114" i="5"/>
  <c r="R79" i="5"/>
  <c r="Q79" i="5"/>
  <c r="P79" i="5"/>
  <c r="O79" i="5"/>
  <c r="N79" i="5"/>
  <c r="M79" i="5"/>
  <c r="R78" i="5"/>
  <c r="Q78" i="5"/>
  <c r="P78" i="5"/>
  <c r="O78" i="5"/>
  <c r="N78" i="5"/>
  <c r="M78" i="5"/>
  <c r="R77" i="5"/>
  <c r="Q77" i="5"/>
  <c r="P77" i="5"/>
  <c r="O77" i="5"/>
  <c r="N77" i="5"/>
  <c r="M77" i="5"/>
  <c r="R76" i="5"/>
  <c r="Q76" i="5"/>
  <c r="P76" i="5"/>
  <c r="O76" i="5"/>
  <c r="N76" i="5"/>
  <c r="M76" i="5"/>
  <c r="Q35" i="5"/>
  <c r="R35" i="5"/>
  <c r="Q36" i="5"/>
  <c r="R36" i="5"/>
  <c r="Q37" i="5"/>
  <c r="R37" i="5"/>
  <c r="Q38" i="5"/>
  <c r="R38" i="5"/>
  <c r="Q39" i="5"/>
  <c r="R39" i="5"/>
  <c r="Q40" i="5"/>
  <c r="R40" i="5"/>
  <c r="Q41" i="5"/>
  <c r="R41" i="5"/>
  <c r="P36" i="5"/>
  <c r="P37" i="5"/>
  <c r="P38" i="5"/>
  <c r="P39" i="5"/>
  <c r="P40" i="5"/>
  <c r="P41" i="5"/>
  <c r="P35" i="5"/>
  <c r="N35" i="5"/>
  <c r="O35" i="5"/>
  <c r="N36" i="5"/>
  <c r="O36" i="5"/>
  <c r="N37" i="5"/>
  <c r="O37" i="5"/>
  <c r="N38" i="5"/>
  <c r="O38" i="5"/>
  <c r="N39" i="5"/>
  <c r="O39" i="5"/>
  <c r="N40" i="5"/>
  <c r="O40" i="5"/>
  <c r="N41" i="5"/>
  <c r="O41" i="5"/>
  <c r="M36" i="5"/>
  <c r="M37" i="5"/>
  <c r="M38" i="5"/>
  <c r="M39" i="5"/>
  <c r="M40" i="5"/>
  <c r="M41" i="5"/>
  <c r="M35" i="5"/>
  <c r="M73" i="4"/>
  <c r="N73" i="4"/>
  <c r="O73" i="4"/>
  <c r="P73" i="4"/>
  <c r="Q73" i="4"/>
  <c r="R73" i="4"/>
  <c r="M74" i="4"/>
  <c r="N74" i="4"/>
  <c r="O74" i="4"/>
  <c r="P74" i="4"/>
  <c r="Q74" i="4"/>
  <c r="R74" i="4"/>
  <c r="M75" i="4"/>
  <c r="N75" i="4"/>
  <c r="O75" i="4"/>
  <c r="P75" i="4"/>
  <c r="Q75" i="4"/>
  <c r="R75" i="4"/>
  <c r="M111" i="4"/>
  <c r="N111" i="4"/>
  <c r="O111" i="4"/>
  <c r="P111" i="4"/>
  <c r="Q111" i="4"/>
  <c r="R111" i="4"/>
  <c r="M112" i="4"/>
  <c r="N112" i="4"/>
  <c r="O112" i="4"/>
  <c r="P112" i="4"/>
  <c r="Q112" i="4"/>
  <c r="R112" i="4"/>
  <c r="M113" i="4"/>
  <c r="N113" i="4"/>
  <c r="O113" i="4"/>
  <c r="P113" i="4"/>
  <c r="Q113" i="4"/>
  <c r="R113" i="4"/>
  <c r="R117" i="4"/>
  <c r="Q117" i="4"/>
  <c r="P117" i="4"/>
  <c r="O117" i="4"/>
  <c r="N117" i="4"/>
  <c r="M117" i="4"/>
  <c r="R116" i="4"/>
  <c r="Q116" i="4"/>
  <c r="P116" i="4"/>
  <c r="O116" i="4"/>
  <c r="N116" i="4"/>
  <c r="M116" i="4"/>
  <c r="R115" i="4"/>
  <c r="Q115" i="4"/>
  <c r="P115" i="4"/>
  <c r="O115" i="4"/>
  <c r="N115" i="4"/>
  <c r="M115" i="4"/>
  <c r="R114" i="4"/>
  <c r="Q114" i="4"/>
  <c r="P114" i="4"/>
  <c r="O114" i="4"/>
  <c r="N114" i="4"/>
  <c r="M114" i="4"/>
  <c r="R79" i="4"/>
  <c r="Q79" i="4"/>
  <c r="P79" i="4"/>
  <c r="O79" i="4"/>
  <c r="N79" i="4"/>
  <c r="M79" i="4"/>
  <c r="R78" i="4"/>
  <c r="Q78" i="4"/>
  <c r="P78" i="4"/>
  <c r="O78" i="4"/>
  <c r="N78" i="4"/>
  <c r="M78" i="4"/>
  <c r="R77" i="4"/>
  <c r="Q77" i="4"/>
  <c r="P77" i="4"/>
  <c r="O77" i="4"/>
  <c r="N77" i="4"/>
  <c r="M77" i="4"/>
  <c r="R76" i="4"/>
  <c r="Q76" i="4"/>
  <c r="P76" i="4"/>
  <c r="O76" i="4"/>
  <c r="N76" i="4"/>
  <c r="M76" i="4"/>
  <c r="Q35" i="4"/>
  <c r="R35" i="4"/>
  <c r="Q36" i="4"/>
  <c r="R36" i="4"/>
  <c r="Q37" i="4"/>
  <c r="R37" i="4"/>
  <c r="Q38" i="4"/>
  <c r="R38" i="4"/>
  <c r="Q39" i="4"/>
  <c r="R39" i="4"/>
  <c r="Q40" i="4"/>
  <c r="R40" i="4"/>
  <c r="Q41" i="4"/>
  <c r="R41" i="4"/>
  <c r="P36" i="4"/>
  <c r="P37" i="4"/>
  <c r="P38" i="4"/>
  <c r="P39" i="4"/>
  <c r="P40" i="4"/>
  <c r="P41" i="4"/>
  <c r="P35" i="4"/>
  <c r="N35" i="4"/>
  <c r="O35" i="4"/>
  <c r="N36" i="4"/>
  <c r="O36" i="4"/>
  <c r="N37" i="4"/>
  <c r="O37" i="4"/>
  <c r="N38" i="4"/>
  <c r="O38" i="4"/>
  <c r="N39" i="4"/>
  <c r="O39" i="4"/>
  <c r="N40" i="4"/>
  <c r="O40" i="4"/>
  <c r="N41" i="4"/>
  <c r="O41" i="4"/>
  <c r="M36" i="4"/>
  <c r="M37" i="4"/>
  <c r="M38" i="4"/>
  <c r="M39" i="4"/>
  <c r="M40" i="4"/>
  <c r="M41" i="4"/>
  <c r="M35" i="4"/>
  <c r="M73" i="3"/>
  <c r="N73" i="3"/>
  <c r="O73" i="3"/>
  <c r="P73" i="3"/>
  <c r="Q73" i="3"/>
  <c r="R73" i="3"/>
  <c r="M74" i="3"/>
  <c r="N74" i="3"/>
  <c r="O74" i="3"/>
  <c r="P74" i="3"/>
  <c r="Q74" i="3"/>
  <c r="R74" i="3"/>
  <c r="M75" i="3"/>
  <c r="N75" i="3"/>
  <c r="O75" i="3"/>
  <c r="P75" i="3"/>
  <c r="Q75" i="3"/>
  <c r="R75" i="3"/>
  <c r="M111" i="3"/>
  <c r="N111" i="3"/>
  <c r="O111" i="3"/>
  <c r="P111" i="3"/>
  <c r="Q111" i="3"/>
  <c r="R111" i="3"/>
  <c r="M112" i="3"/>
  <c r="N112" i="3"/>
  <c r="O112" i="3"/>
  <c r="P112" i="3"/>
  <c r="Q112" i="3"/>
  <c r="R112" i="3"/>
  <c r="M113" i="3"/>
  <c r="N113" i="3"/>
  <c r="O113" i="3"/>
  <c r="P113" i="3"/>
  <c r="Q113" i="3"/>
  <c r="R113" i="3"/>
  <c r="R117" i="3"/>
  <c r="Q117" i="3"/>
  <c r="P117" i="3"/>
  <c r="O117" i="3"/>
  <c r="N117" i="3"/>
  <c r="M117" i="3"/>
  <c r="R116" i="3"/>
  <c r="Q116" i="3"/>
  <c r="P116" i="3"/>
  <c r="O116" i="3"/>
  <c r="N116" i="3"/>
  <c r="M116" i="3"/>
  <c r="R115" i="3"/>
  <c r="Q115" i="3"/>
  <c r="P115" i="3"/>
  <c r="O115" i="3"/>
  <c r="N115" i="3"/>
  <c r="M115" i="3"/>
  <c r="R114" i="3"/>
  <c r="Q114" i="3"/>
  <c r="P114" i="3"/>
  <c r="O114" i="3"/>
  <c r="N114" i="3"/>
  <c r="M114" i="3"/>
  <c r="R79" i="3"/>
  <c r="Q79" i="3"/>
  <c r="P79" i="3"/>
  <c r="O79" i="3"/>
  <c r="N79" i="3"/>
  <c r="M79" i="3"/>
  <c r="R78" i="3"/>
  <c r="Q78" i="3"/>
  <c r="P78" i="3"/>
  <c r="O78" i="3"/>
  <c r="N78" i="3"/>
  <c r="M78" i="3"/>
  <c r="R77" i="3"/>
  <c r="Q77" i="3"/>
  <c r="P77" i="3"/>
  <c r="O77" i="3"/>
  <c r="N77" i="3"/>
  <c r="M77" i="3"/>
  <c r="R76" i="3"/>
  <c r="Q76" i="3"/>
  <c r="P76" i="3"/>
  <c r="O76" i="3"/>
  <c r="N76" i="3"/>
  <c r="M76" i="3"/>
  <c r="Q35" i="3"/>
  <c r="R35" i="3"/>
  <c r="Q36" i="3"/>
  <c r="R36" i="3"/>
  <c r="Q37" i="3"/>
  <c r="R37" i="3"/>
  <c r="Q38" i="3"/>
  <c r="R38" i="3"/>
  <c r="Q39" i="3"/>
  <c r="R39" i="3"/>
  <c r="Q40" i="3"/>
  <c r="R40" i="3"/>
  <c r="Q41" i="3"/>
  <c r="R41" i="3"/>
  <c r="P36" i="3"/>
  <c r="P37" i="3"/>
  <c r="P38" i="3"/>
  <c r="P39" i="3"/>
  <c r="P40" i="3"/>
  <c r="P41" i="3"/>
  <c r="P35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M36" i="3"/>
  <c r="M37" i="3"/>
  <c r="M38" i="3"/>
  <c r="M39" i="3"/>
  <c r="M40" i="3"/>
  <c r="M41" i="3"/>
  <c r="M35" i="3"/>
  <c r="O73" i="2"/>
  <c r="R73" i="2"/>
  <c r="O74" i="2"/>
  <c r="R74" i="2"/>
  <c r="O75" i="2"/>
  <c r="R75" i="2"/>
  <c r="O111" i="2"/>
  <c r="R111" i="2"/>
  <c r="O112" i="2"/>
  <c r="R112" i="2"/>
  <c r="O113" i="2"/>
  <c r="R113" i="2"/>
  <c r="R117" i="2"/>
  <c r="O117" i="2"/>
  <c r="R116" i="2"/>
  <c r="O116" i="2"/>
  <c r="R115" i="2"/>
  <c r="O115" i="2"/>
  <c r="R114" i="2"/>
  <c r="O114" i="2"/>
  <c r="R79" i="2"/>
  <c r="O79" i="2"/>
  <c r="R78" i="2"/>
  <c r="O78" i="2"/>
  <c r="R77" i="2"/>
  <c r="O77" i="2"/>
  <c r="R76" i="2"/>
  <c r="O76" i="2"/>
  <c r="R35" i="2"/>
  <c r="R36" i="2"/>
  <c r="R37" i="2"/>
  <c r="R38" i="2"/>
  <c r="R39" i="2"/>
  <c r="R40" i="2"/>
  <c r="R41" i="2"/>
  <c r="O35" i="2"/>
  <c r="O36" i="2"/>
  <c r="O37" i="2"/>
  <c r="O38" i="2"/>
  <c r="O39" i="2"/>
  <c r="O40" i="2"/>
  <c r="O41" i="2"/>
  <c r="O73" i="1"/>
  <c r="R73" i="1"/>
  <c r="O74" i="1"/>
  <c r="R74" i="1"/>
  <c r="O75" i="1"/>
  <c r="R75" i="1"/>
  <c r="O111" i="1"/>
  <c r="R111" i="1"/>
  <c r="O112" i="1"/>
  <c r="R112" i="1"/>
  <c r="O113" i="1"/>
  <c r="R113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O114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O76" i="1"/>
  <c r="R35" i="1"/>
  <c r="R36" i="1"/>
  <c r="R37" i="1"/>
  <c r="R38" i="1"/>
  <c r="Q39" i="1"/>
  <c r="R39" i="1"/>
  <c r="Q40" i="1"/>
  <c r="R40" i="1"/>
  <c r="Q41" i="1"/>
  <c r="R41" i="1"/>
  <c r="P39" i="1"/>
  <c r="P40" i="1"/>
  <c r="P41" i="1"/>
  <c r="O35" i="1"/>
  <c r="O36" i="1"/>
  <c r="O37" i="1"/>
  <c r="O38" i="1"/>
  <c r="N39" i="1"/>
  <c r="O39" i="1"/>
  <c r="N40" i="1"/>
  <c r="O40" i="1"/>
  <c r="N41" i="1"/>
  <c r="O41" i="1"/>
  <c r="M39" i="1"/>
  <c r="M40" i="1"/>
  <c r="M41" i="1"/>
  <c r="R113" i="7" l="1"/>
  <c r="O113" i="7"/>
  <c r="R114" i="7"/>
  <c r="O114" i="7"/>
  <c r="O117" i="7"/>
  <c r="R117" i="7"/>
  <c r="Q115" i="7"/>
  <c r="P114" i="7"/>
  <c r="R111" i="7" l="1"/>
  <c r="O111" i="7"/>
  <c r="O115" i="7"/>
  <c r="R115" i="7"/>
</calcChain>
</file>

<file path=xl/sharedStrings.xml><?xml version="1.0" encoding="utf-8"?>
<sst xmlns="http://schemas.openxmlformats.org/spreadsheetml/2006/main" count="530" uniqueCount="64">
  <si>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</si>
  <si>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</si>
  <si>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</si>
  <si>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</si>
  <si>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</si>
  <si>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</si>
  <si>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</si>
  <si>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</si>
  <si>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</si>
  <si>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</si>
  <si>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</si>
  <si>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</si>
  <si>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</si>
  <si>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</si>
  <si>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</si>
  <si>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</si>
  <si>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</si>
  <si>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</si>
  <si>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</si>
  <si>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</si>
  <si>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</si>
  <si>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</si>
  <si>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</si>
  <si>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</si>
  <si>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</si>
  <si>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</si>
  <si>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</si>
  <si>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</si>
  <si>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</si>
  <si>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</si>
  <si>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</si>
  <si>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</si>
  <si>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</si>
  <si>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</si>
  <si>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</si>
  <si>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</si>
  <si>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</si>
  <si>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</si>
  <si>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</si>
  <si>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</si>
  <si>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</si>
  <si>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</si>
  <si>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</si>
  <si>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</si>
  <si>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</si>
  <si>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</si>
  <si>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</si>
  <si>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</si>
  <si>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</si>
  <si>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</si>
  <si>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</si>
  <si>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</si>
  <si>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</si>
  <si>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</si>
  <si>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</si>
  <si>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</si>
  <si>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</si>
  <si>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</si>
  <si>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R1</t>
  </si>
  <si>
    <t>R2</t>
  </si>
  <si>
    <t>GE</t>
  </si>
  <si>
    <t>keine Fahrzeugklassen verfügbar</t>
  </si>
  <si>
    <t>2019 keine Fahrzeugklassen verfügbar, daher kein Vergleich möglich</t>
  </si>
  <si>
    <t>2021 keine Fahrzeugklassen verfügbar, daher kein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</si>
</sst>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2" xfId="1" applyNumberFormat="1" applyFont="1" applyBorder="1" applyAlignment="1">
      <alignment horizontal="center" textRotation="90"/>
    </xf>
    <xf numFmtId="165" fontId="0" fillId="0" borderId="0" xfId="1" applyNumberFormat="1" applyFont="1" applyBorder="1" applyAlignment="1">
      <alignment horizontal="center" textRotation="90"/>
    </xf>
    <xf numFmtId="165" fontId="0" fillId="0" borderId="1" xfId="1" applyNumberFormat="1" applyFont="1" applyBorder="1" applyAlignment="1">
      <alignment horizontal="center" textRotation="90"/>
    </xf>
    <xf numFmtId="9" fontId="0" fillId="0" borderId="2" xfId="2" applyFont="1" applyBorder="1" applyAlignment="1">
      <alignment horizontal="center" textRotation="90" wrapText="1"/>
    </xf>
    <xf numFmtId="9" fontId="0" fillId="0" borderId="0" xfId="2" applyFont="1" applyBorder="1" applyAlignment="1">
      <alignment horizontal="center" textRotation="90" wrapText="1"/>
    </xf>
    <xf numFmtId="165" fontId="0" fillId="0" borderId="0" xfId="1" applyNumberFormat="1" applyFont="1" applyAlignment="1">
      <alignment horizontal="center" textRotation="90" wrapText="1"/>
    </xf>
    <xf numFmtId="165" fontId="0" fillId="0" borderId="0" xfId="1" applyNumberFormat="1" applyFont="1" applyAlignment="1">
      <alignment textRotation="90" wrapText="1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R120"/>
  <sheetViews>
    <sheetView topLeftCell="A16" zoomScale="70" zoomScaleNormal="70" workbookViewId="0">
      <selection activeCell="F41" sqref="F41"/>
    </sheetView>
  </sheetViews>
  <sheetFormatPr baseColWidth="10" defaultRowHeight="12.75" x14ac:dyDescent="0.2"/>
  <cols>
    <col min="1" max="1" width="29.42578125" customWidth="1"/>
    <col min="2" max="2" width="12.85546875" bestFit="1" customWidth="1"/>
    <col min="3" max="3" width="7.42578125" bestFit="1" customWidth="1"/>
    <col min="4" max="4" width="15.85546875" bestFit="1" customWidth="1"/>
    <col min="5" max="5" width="1.140625" customWidth="1"/>
    <col min="6" max="6" width="30" customWidth="1"/>
    <col min="7" max="7" width="12.85546875" bestFit="1" customWidth="1"/>
    <col min="8" max="8" width="7.42578125" bestFit="1" customWidth="1"/>
    <col min="9" max="9" width="15.85546875" bestFit="1" customWidth="1"/>
    <col min="10" max="10" width="0.85546875" customWidth="1"/>
    <col min="11" max="11" width="29.42578125" customWidth="1"/>
    <col min="12" max="12" width="29.5703125" customWidth="1"/>
    <col min="13" max="13" width="12.85546875" bestFit="1" customWidth="1"/>
    <col min="14" max="14" width="7.42578125" bestFit="1" customWidth="1"/>
    <col min="15" max="15" width="15.85546875" bestFit="1" customWidth="1"/>
    <col min="16" max="16" width="12.85546875" bestFit="1" customWidth="1"/>
    <col min="17" max="17" width="7.140625" bestFit="1" customWidth="1"/>
    <col min="18" max="18" width="15.85546875" style="9" bestFit="1" customWidth="1"/>
  </cols>
  <sheetData>
    <row r="1" spans="1:18" ht="15.75" x14ac:dyDescent="0.25">
      <c r="A1" s="10" t="s">
        <v>56</v>
      </c>
    </row>
    <row r="2" spans="1:18" ht="15" x14ac:dyDescent="0.2">
      <c r="A2" s="14" t="s">
        <v>44</v>
      </c>
    </row>
    <row r="3" spans="1:18" ht="15" x14ac:dyDescent="0.2">
      <c r="A3" s="14" t="s">
        <v>45</v>
      </c>
    </row>
    <row r="4" spans="1:18" ht="15" x14ac:dyDescent="0.2">
      <c r="A4" s="14" t="s">
        <v>46</v>
      </c>
    </row>
    <row r="5" spans="1:18" ht="15" x14ac:dyDescent="0.2">
      <c r="A5" s="14"/>
    </row>
    <row r="6" spans="1:18" ht="15" x14ac:dyDescent="0.2">
      <c r="A6" s="21" t="s">
        <v>47</v>
      </c>
      <c r="B6" s="22"/>
      <c r="C6" s="22"/>
      <c r="D6" s="22"/>
      <c r="E6" s="15"/>
      <c r="F6" s="15"/>
      <c r="G6" s="15"/>
    </row>
    <row r="7" spans="1:18" ht="15" x14ac:dyDescent="0.2">
      <c r="A7" s="21" t="s">
        <v>48</v>
      </c>
      <c r="B7" s="22"/>
      <c r="C7" s="22"/>
    </row>
    <row r="9" spans="1:18" ht="12.95" customHeight="1" x14ac:dyDescent="0.2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1" customHeight="1" x14ac:dyDescent="0.2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6" customHeight="1" x14ac:dyDescent="0.2">
      <c r="A11" s="5">
        <v>43466</v>
      </c>
      <c r="B11" s="25" t="s">
        <v>61</v>
      </c>
      <c r="C11" s="25"/>
      <c r="D11" s="11">
        <v>49689</v>
      </c>
      <c r="F11" s="5">
        <v>44197</v>
      </c>
      <c r="G11" s="11">
        <v>35947</v>
      </c>
      <c r="H11" s="11">
        <v>139</v>
      </c>
      <c r="I11" s="11">
        <v>36086</v>
      </c>
      <c r="K11" s="5">
        <v>43469</v>
      </c>
      <c r="L11" s="5">
        <v>44197</v>
      </c>
      <c r="M11" s="28" t="s">
        <v>62</v>
      </c>
      <c r="N11" s="28"/>
      <c r="O11" s="11">
        <v>-38510</v>
      </c>
      <c r="P11" s="28" t="s">
        <v>62</v>
      </c>
      <c r="Q11" s="28"/>
      <c r="R11" s="12">
        <v>-0.51624751997426133</v>
      </c>
    </row>
    <row r="12" spans="1:18" x14ac:dyDescent="0.2">
      <c r="A12" s="5">
        <v>43467</v>
      </c>
      <c r="B12" s="26"/>
      <c r="C12" s="26"/>
      <c r="D12" s="11">
        <v>52910</v>
      </c>
      <c r="F12" s="5">
        <v>44198</v>
      </c>
      <c r="G12" s="11">
        <v>49399</v>
      </c>
      <c r="H12" s="11">
        <v>222</v>
      </c>
      <c r="I12" s="11">
        <v>49621</v>
      </c>
      <c r="K12" s="5">
        <v>43470</v>
      </c>
      <c r="L12" s="5">
        <v>44198</v>
      </c>
      <c r="M12" s="29"/>
      <c r="N12" s="29"/>
      <c r="O12" s="11">
        <v>-7297</v>
      </c>
      <c r="P12" s="29"/>
      <c r="Q12" s="29"/>
      <c r="R12" s="12">
        <v>-0.12820197477072282</v>
      </c>
    </row>
    <row r="13" spans="1:18" x14ac:dyDescent="0.2">
      <c r="A13" s="5">
        <v>43468</v>
      </c>
      <c r="B13" s="26"/>
      <c r="C13" s="26"/>
      <c r="D13" s="11">
        <v>72558</v>
      </c>
      <c r="F13" s="5">
        <v>44199</v>
      </c>
      <c r="G13" s="11">
        <v>43684</v>
      </c>
      <c r="H13" s="11">
        <v>132</v>
      </c>
      <c r="I13" s="11">
        <v>43816</v>
      </c>
      <c r="K13" s="5">
        <v>43471</v>
      </c>
      <c r="L13" s="5">
        <v>44199</v>
      </c>
      <c r="M13" s="29"/>
      <c r="N13" s="29"/>
      <c r="O13" s="11">
        <v>-3867</v>
      </c>
      <c r="P13" s="29"/>
      <c r="Q13" s="29"/>
      <c r="R13" s="12">
        <v>-8.1098085271480436E-2</v>
      </c>
    </row>
    <row r="14" spans="1:18" x14ac:dyDescent="0.2">
      <c r="A14" s="5">
        <v>43469</v>
      </c>
      <c r="B14" s="26"/>
      <c r="C14" s="26"/>
      <c r="D14" s="11">
        <v>74596</v>
      </c>
      <c r="F14" s="5">
        <v>44200</v>
      </c>
      <c r="G14" s="11">
        <v>60169</v>
      </c>
      <c r="H14" s="11">
        <v>1958</v>
      </c>
      <c r="I14" s="11">
        <v>62127</v>
      </c>
      <c r="K14" s="5">
        <v>43472</v>
      </c>
      <c r="L14" s="5">
        <v>44200</v>
      </c>
      <c r="M14" s="29"/>
      <c r="N14" s="29"/>
      <c r="O14" s="11">
        <v>-7868</v>
      </c>
      <c r="P14" s="29"/>
      <c r="Q14" s="29"/>
      <c r="R14" s="12">
        <v>-0.11240802914493897</v>
      </c>
    </row>
    <row r="15" spans="1:18" x14ac:dyDescent="0.2">
      <c r="A15" s="5">
        <v>43470</v>
      </c>
      <c r="B15" s="26"/>
      <c r="C15" s="26"/>
      <c r="D15" s="11">
        <v>56918</v>
      </c>
      <c r="F15" s="5">
        <v>44201</v>
      </c>
      <c r="G15" s="11">
        <v>61906</v>
      </c>
      <c r="H15" s="11">
        <v>2170</v>
      </c>
      <c r="I15" s="11">
        <v>64076</v>
      </c>
      <c r="K15" s="5">
        <v>43473</v>
      </c>
      <c r="L15" s="5">
        <v>44201</v>
      </c>
      <c r="M15" s="29"/>
      <c r="N15" s="29"/>
      <c r="O15" s="11">
        <v>-6912</v>
      </c>
      <c r="P15" s="29"/>
      <c r="Q15" s="29"/>
      <c r="R15" s="12">
        <v>-9.7368569335662403E-2</v>
      </c>
    </row>
    <row r="16" spans="1:18" x14ac:dyDescent="0.2">
      <c r="A16" s="5">
        <v>43471</v>
      </c>
      <c r="B16" s="26"/>
      <c r="C16" s="26"/>
      <c r="D16" s="11">
        <v>47683</v>
      </c>
      <c r="F16" s="5">
        <v>44202</v>
      </c>
      <c r="G16" s="11">
        <v>63317</v>
      </c>
      <c r="H16" s="11">
        <v>2271</v>
      </c>
      <c r="I16" s="11">
        <v>65588</v>
      </c>
      <c r="K16" s="5">
        <v>43474</v>
      </c>
      <c r="L16" s="5">
        <v>44202</v>
      </c>
      <c r="M16" s="29"/>
      <c r="N16" s="29"/>
      <c r="O16" s="11">
        <v>-3254</v>
      </c>
      <c r="P16" s="29"/>
      <c r="Q16" s="29"/>
      <c r="R16" s="12">
        <v>-4.7267656372563249E-2</v>
      </c>
    </row>
    <row r="17" spans="1:18" x14ac:dyDescent="0.2">
      <c r="A17" s="5">
        <v>43472</v>
      </c>
      <c r="B17" s="26"/>
      <c r="C17" s="26"/>
      <c r="D17" s="11">
        <v>69995</v>
      </c>
      <c r="F17" s="5">
        <v>44203</v>
      </c>
      <c r="G17" s="11">
        <v>68464</v>
      </c>
      <c r="H17" s="11">
        <v>2273</v>
      </c>
      <c r="I17" s="11">
        <v>70737</v>
      </c>
      <c r="K17" s="5">
        <v>43475</v>
      </c>
      <c r="L17" s="5">
        <v>44203</v>
      </c>
      <c r="M17" s="29"/>
      <c r="N17" s="29"/>
      <c r="O17" s="11">
        <v>-708</v>
      </c>
      <c r="P17" s="29"/>
      <c r="Q17" s="29"/>
      <c r="R17" s="12">
        <v>-9.9097207642242502E-3</v>
      </c>
    </row>
    <row r="18" spans="1:18" x14ac:dyDescent="0.2">
      <c r="A18" s="5">
        <v>43473</v>
      </c>
      <c r="B18" s="26"/>
      <c r="C18" s="26"/>
      <c r="D18" s="11">
        <v>70988</v>
      </c>
      <c r="F18" s="5">
        <v>44204</v>
      </c>
      <c r="G18" s="11">
        <v>71929</v>
      </c>
      <c r="H18" s="11">
        <v>2346</v>
      </c>
      <c r="I18" s="11">
        <v>74275</v>
      </c>
      <c r="K18" s="5">
        <v>43476</v>
      </c>
      <c r="L18" s="5">
        <v>44204</v>
      </c>
      <c r="M18" s="29"/>
      <c r="N18" s="29"/>
      <c r="O18" s="11">
        <v>-5625</v>
      </c>
      <c r="P18" s="29"/>
      <c r="Q18" s="29"/>
      <c r="R18" s="12">
        <v>-7.0400500625782181E-2</v>
      </c>
    </row>
    <row r="19" spans="1:18" x14ac:dyDescent="0.2">
      <c r="A19" s="5">
        <v>43474</v>
      </c>
      <c r="B19" s="26"/>
      <c r="C19" s="26"/>
      <c r="D19" s="11">
        <v>68842</v>
      </c>
      <c r="F19" s="5">
        <v>44205</v>
      </c>
      <c r="G19" s="11">
        <v>59142</v>
      </c>
      <c r="H19" s="11">
        <v>617</v>
      </c>
      <c r="I19" s="11">
        <v>59759</v>
      </c>
      <c r="K19" s="5">
        <v>43477</v>
      </c>
      <c r="L19" s="5">
        <v>44205</v>
      </c>
      <c r="M19" s="29"/>
      <c r="N19" s="29"/>
      <c r="O19" s="11">
        <v>-5634</v>
      </c>
      <c r="P19" s="29"/>
      <c r="Q19" s="29"/>
      <c r="R19" s="12">
        <v>-8.6156010582172371E-2</v>
      </c>
    </row>
    <row r="20" spans="1:18" x14ac:dyDescent="0.2">
      <c r="A20" s="5">
        <v>43475</v>
      </c>
      <c r="B20" s="26"/>
      <c r="C20" s="26"/>
      <c r="D20" s="11">
        <v>71445</v>
      </c>
      <c r="F20" s="5">
        <v>44206</v>
      </c>
      <c r="G20" s="11">
        <v>47554</v>
      </c>
      <c r="H20" s="11">
        <v>128</v>
      </c>
      <c r="I20" s="11">
        <v>47682</v>
      </c>
      <c r="K20" s="5">
        <v>43478</v>
      </c>
      <c r="L20" s="5">
        <v>44206</v>
      </c>
      <c r="M20" s="29"/>
      <c r="N20" s="29"/>
      <c r="O20" s="11">
        <v>-1089</v>
      </c>
      <c r="P20" s="29"/>
      <c r="Q20" s="29"/>
      <c r="R20" s="12">
        <v>-2.2328842959955741E-2</v>
      </c>
    </row>
    <row r="21" spans="1:18" x14ac:dyDescent="0.2">
      <c r="A21" s="5">
        <v>43476</v>
      </c>
      <c r="B21" s="26"/>
      <c r="C21" s="26"/>
      <c r="D21" s="11">
        <v>79900</v>
      </c>
      <c r="F21" s="5">
        <v>44207</v>
      </c>
      <c r="G21" s="11">
        <v>67948</v>
      </c>
      <c r="H21" s="11">
        <v>2911</v>
      </c>
      <c r="I21" s="11">
        <v>70859</v>
      </c>
      <c r="K21" s="5">
        <v>43479</v>
      </c>
      <c r="L21" s="5">
        <v>44207</v>
      </c>
      <c r="M21" s="29"/>
      <c r="N21" s="29"/>
      <c r="O21" s="11">
        <v>-2428</v>
      </c>
      <c r="P21" s="29"/>
      <c r="Q21" s="29"/>
      <c r="R21" s="12">
        <v>-3.3130023060024327E-2</v>
      </c>
    </row>
    <row r="22" spans="1:18" x14ac:dyDescent="0.2">
      <c r="A22" s="5">
        <v>43477</v>
      </c>
      <c r="B22" s="26"/>
      <c r="C22" s="26"/>
      <c r="D22" s="11">
        <v>65393</v>
      </c>
      <c r="F22" s="5">
        <v>44208</v>
      </c>
      <c r="G22" s="11">
        <v>62411</v>
      </c>
      <c r="H22" s="11">
        <v>3189</v>
      </c>
      <c r="I22" s="11">
        <v>65600</v>
      </c>
      <c r="K22" s="5">
        <v>43480</v>
      </c>
      <c r="L22" s="5">
        <v>44208</v>
      </c>
      <c r="M22" s="29"/>
      <c r="N22" s="29"/>
      <c r="O22" s="11">
        <v>-10775</v>
      </c>
      <c r="P22" s="29"/>
      <c r="Q22" s="29"/>
      <c r="R22" s="12">
        <v>-0.14108019639934533</v>
      </c>
    </row>
    <row r="23" spans="1:18" x14ac:dyDescent="0.2">
      <c r="A23" s="5">
        <v>43478</v>
      </c>
      <c r="B23" s="26"/>
      <c r="C23" s="26"/>
      <c r="D23" s="11">
        <v>48771</v>
      </c>
      <c r="F23" s="5">
        <v>44209</v>
      </c>
      <c r="G23" s="11">
        <v>65569</v>
      </c>
      <c r="H23" s="11">
        <v>3169</v>
      </c>
      <c r="I23" s="11">
        <v>68738</v>
      </c>
      <c r="K23" s="5">
        <v>43481</v>
      </c>
      <c r="L23" s="5">
        <v>44209</v>
      </c>
      <c r="M23" s="29"/>
      <c r="N23" s="29"/>
      <c r="O23" s="11">
        <v>-12284</v>
      </c>
      <c r="P23" s="29"/>
      <c r="Q23" s="29"/>
      <c r="R23" s="12">
        <v>-0.15161314210955046</v>
      </c>
    </row>
    <row r="24" spans="1:18" x14ac:dyDescent="0.2">
      <c r="A24" s="5">
        <v>43479</v>
      </c>
      <c r="B24" s="26"/>
      <c r="C24" s="26"/>
      <c r="D24" s="11">
        <v>73287</v>
      </c>
      <c r="F24" s="5">
        <v>44210</v>
      </c>
      <c r="G24" s="11">
        <v>68018</v>
      </c>
      <c r="H24" s="11">
        <v>3024</v>
      </c>
      <c r="I24" s="11">
        <v>71042</v>
      </c>
      <c r="K24" s="5">
        <v>43482</v>
      </c>
      <c r="L24" s="5">
        <v>44210</v>
      </c>
      <c r="M24" s="29"/>
      <c r="N24" s="29"/>
      <c r="O24" s="11">
        <v>-6346</v>
      </c>
      <c r="P24" s="29"/>
      <c r="Q24" s="29"/>
      <c r="R24" s="12">
        <v>-8.2002377629606604E-2</v>
      </c>
    </row>
    <row r="25" spans="1:18" x14ac:dyDescent="0.2">
      <c r="A25" s="5">
        <v>43480</v>
      </c>
      <c r="B25" s="26"/>
      <c r="C25" s="26"/>
      <c r="D25" s="11">
        <v>76375</v>
      </c>
      <c r="F25" s="5">
        <v>44211</v>
      </c>
      <c r="G25" s="11">
        <v>69256</v>
      </c>
      <c r="H25" s="11">
        <v>2875</v>
      </c>
      <c r="I25" s="11">
        <v>72131</v>
      </c>
      <c r="K25" s="5">
        <v>43483</v>
      </c>
      <c r="L25" s="5">
        <v>44211</v>
      </c>
      <c r="M25" s="29"/>
      <c r="N25" s="29"/>
      <c r="O25" s="11">
        <v>-12040</v>
      </c>
      <c r="P25" s="29"/>
      <c r="Q25" s="29"/>
      <c r="R25" s="12">
        <v>-0.14304214040465246</v>
      </c>
    </row>
    <row r="26" spans="1:18" x14ac:dyDescent="0.2">
      <c r="A26" s="5">
        <v>43481</v>
      </c>
      <c r="B26" s="26"/>
      <c r="C26" s="26"/>
      <c r="D26" s="11">
        <v>81022</v>
      </c>
      <c r="F26" s="5">
        <v>44212</v>
      </c>
      <c r="G26" s="11">
        <v>60203</v>
      </c>
      <c r="H26" s="11">
        <v>632</v>
      </c>
      <c r="I26" s="11">
        <v>60835</v>
      </c>
      <c r="K26" s="5">
        <v>43484</v>
      </c>
      <c r="L26" s="5">
        <v>44212</v>
      </c>
      <c r="M26" s="29"/>
      <c r="N26" s="29"/>
      <c r="O26" s="11">
        <v>-10943</v>
      </c>
      <c r="P26" s="29"/>
      <c r="Q26" s="29"/>
      <c r="R26" s="12">
        <v>-0.15245618434617847</v>
      </c>
    </row>
    <row r="27" spans="1:18" x14ac:dyDescent="0.2">
      <c r="A27" s="5">
        <v>43482</v>
      </c>
      <c r="B27" s="26"/>
      <c r="C27" s="26"/>
      <c r="D27" s="11">
        <v>77388</v>
      </c>
      <c r="F27" s="5">
        <v>44213</v>
      </c>
      <c r="G27" s="11">
        <v>36903</v>
      </c>
      <c r="H27" s="11">
        <v>129</v>
      </c>
      <c r="I27" s="11">
        <v>37032</v>
      </c>
      <c r="K27" s="5">
        <v>43485</v>
      </c>
      <c r="L27" s="5">
        <v>44213</v>
      </c>
      <c r="M27" s="29"/>
      <c r="N27" s="29"/>
      <c r="O27" s="11">
        <v>-20721</v>
      </c>
      <c r="P27" s="29"/>
      <c r="Q27" s="29"/>
      <c r="R27" s="12">
        <v>-0.35878655654251723</v>
      </c>
    </row>
    <row r="28" spans="1:18" x14ac:dyDescent="0.2">
      <c r="A28" s="5">
        <v>43483</v>
      </c>
      <c r="B28" s="26"/>
      <c r="C28" s="26"/>
      <c r="D28" s="11">
        <v>84171</v>
      </c>
      <c r="F28" s="5">
        <v>44214</v>
      </c>
      <c r="G28" s="11">
        <v>62131</v>
      </c>
      <c r="H28" s="11">
        <v>3056</v>
      </c>
      <c r="I28" s="11">
        <v>65187</v>
      </c>
      <c r="K28" s="5">
        <v>43486</v>
      </c>
      <c r="L28" s="5">
        <v>44214</v>
      </c>
      <c r="M28" s="29"/>
      <c r="N28" s="29"/>
      <c r="O28" s="11">
        <v>-11456</v>
      </c>
      <c r="P28" s="29"/>
      <c r="Q28" s="29"/>
      <c r="R28" s="12">
        <v>-0.14947222838354446</v>
      </c>
    </row>
    <row r="29" spans="1:18" x14ac:dyDescent="0.2">
      <c r="A29" s="5">
        <v>43484</v>
      </c>
      <c r="B29" s="26"/>
      <c r="C29" s="26"/>
      <c r="D29" s="11">
        <v>71778</v>
      </c>
      <c r="F29" s="5">
        <v>44215</v>
      </c>
      <c r="G29" s="11">
        <v>64913</v>
      </c>
      <c r="H29" s="11">
        <v>3534</v>
      </c>
      <c r="I29" s="11">
        <v>68447</v>
      </c>
      <c r="K29" s="5">
        <v>43487</v>
      </c>
      <c r="L29" s="5">
        <v>44215</v>
      </c>
      <c r="M29" s="29"/>
      <c r="N29" s="29"/>
      <c r="O29" s="11">
        <v>-10262</v>
      </c>
      <c r="P29" s="29"/>
      <c r="Q29" s="29"/>
      <c r="R29" s="12">
        <v>-0.13037899096672556</v>
      </c>
    </row>
    <row r="30" spans="1:18" x14ac:dyDescent="0.2">
      <c r="A30" s="5">
        <v>43485</v>
      </c>
      <c r="B30" s="26"/>
      <c r="C30" s="26"/>
      <c r="D30" s="11">
        <v>57753</v>
      </c>
      <c r="F30" s="5">
        <v>44216</v>
      </c>
      <c r="G30" s="11">
        <v>66428</v>
      </c>
      <c r="H30" s="11">
        <v>3416</v>
      </c>
      <c r="I30" s="11">
        <v>69844</v>
      </c>
      <c r="K30" s="5">
        <v>43488</v>
      </c>
      <c r="L30" s="5">
        <v>44216</v>
      </c>
      <c r="M30" s="29"/>
      <c r="N30" s="29"/>
      <c r="O30" s="11">
        <v>-8820</v>
      </c>
      <c r="P30" s="29"/>
      <c r="Q30" s="29"/>
      <c r="R30" s="12">
        <v>-0.11212244482863831</v>
      </c>
    </row>
    <row r="31" spans="1:18" x14ac:dyDescent="0.2">
      <c r="A31" s="5">
        <v>43486</v>
      </c>
      <c r="B31" s="26"/>
      <c r="C31" s="26"/>
      <c r="D31" s="11">
        <v>76643</v>
      </c>
      <c r="F31" s="5">
        <v>44217</v>
      </c>
      <c r="G31" s="11">
        <v>63734</v>
      </c>
      <c r="H31" s="11">
        <v>3200</v>
      </c>
      <c r="I31" s="11">
        <v>66934</v>
      </c>
      <c r="K31" s="5">
        <v>43489</v>
      </c>
      <c r="L31" s="5">
        <v>44217</v>
      </c>
      <c r="M31" s="29"/>
      <c r="N31" s="29"/>
      <c r="O31" s="11">
        <v>-11124</v>
      </c>
      <c r="P31" s="29"/>
      <c r="Q31" s="29"/>
      <c r="R31" s="12">
        <v>-0.14250941607522616</v>
      </c>
    </row>
    <row r="32" spans="1:18" x14ac:dyDescent="0.2">
      <c r="A32" s="5">
        <v>43487</v>
      </c>
      <c r="B32" s="26"/>
      <c r="C32" s="26"/>
      <c r="D32" s="11">
        <v>78709</v>
      </c>
      <c r="F32" s="5">
        <v>44218</v>
      </c>
      <c r="G32" s="11">
        <v>69185</v>
      </c>
      <c r="H32" s="11">
        <v>3085</v>
      </c>
      <c r="I32" s="11">
        <v>72270</v>
      </c>
      <c r="K32" s="5">
        <v>43490</v>
      </c>
      <c r="L32" s="5">
        <v>44218</v>
      </c>
      <c r="M32" s="29"/>
      <c r="N32" s="29"/>
      <c r="O32" s="11">
        <v>-14593</v>
      </c>
      <c r="P32" s="29"/>
      <c r="Q32" s="29"/>
      <c r="R32" s="12">
        <v>-0.16800018419810503</v>
      </c>
    </row>
    <row r="33" spans="1:18" x14ac:dyDescent="0.2">
      <c r="A33" s="5">
        <v>43488</v>
      </c>
      <c r="B33" s="26"/>
      <c r="C33" s="26"/>
      <c r="D33" s="11">
        <v>78664</v>
      </c>
      <c r="F33" s="5">
        <v>44219</v>
      </c>
      <c r="G33" s="11">
        <v>52658</v>
      </c>
      <c r="H33" s="11">
        <v>687</v>
      </c>
      <c r="I33" s="11">
        <v>53345</v>
      </c>
      <c r="K33" s="5">
        <v>43491</v>
      </c>
      <c r="L33" s="5">
        <v>44219</v>
      </c>
      <c r="M33" s="29"/>
      <c r="N33" s="29"/>
      <c r="O33" s="11">
        <v>-19832</v>
      </c>
      <c r="P33" s="29"/>
      <c r="Q33" s="29"/>
      <c r="R33" s="12">
        <v>-0.27101411645735685</v>
      </c>
    </row>
    <row r="34" spans="1:18" x14ac:dyDescent="0.2">
      <c r="A34" s="5">
        <v>43489</v>
      </c>
      <c r="B34" s="26"/>
      <c r="C34" s="26"/>
      <c r="D34" s="11">
        <v>78058</v>
      </c>
      <c r="F34" s="5">
        <v>44220</v>
      </c>
      <c r="G34" s="11">
        <v>50745</v>
      </c>
      <c r="H34" s="11">
        <v>148</v>
      </c>
      <c r="I34" s="11">
        <v>50893</v>
      </c>
      <c r="K34" s="5">
        <v>43492</v>
      </c>
      <c r="L34" s="5">
        <v>44220</v>
      </c>
      <c r="M34" s="29"/>
      <c r="N34" s="29"/>
      <c r="O34" s="11">
        <v>-5119</v>
      </c>
      <c r="P34" s="29"/>
      <c r="Q34" s="29"/>
      <c r="R34" s="12">
        <v>-9.1391130472041726E-2</v>
      </c>
    </row>
    <row r="35" spans="1:18" x14ac:dyDescent="0.2">
      <c r="A35" s="5">
        <v>43490</v>
      </c>
      <c r="B35" s="26"/>
      <c r="C35" s="26"/>
      <c r="D35" s="11">
        <v>86863</v>
      </c>
      <c r="F35" s="5">
        <v>44221</v>
      </c>
      <c r="G35" s="11">
        <v>55196</v>
      </c>
      <c r="H35" s="11">
        <v>2989</v>
      </c>
      <c r="I35" s="11">
        <v>58185</v>
      </c>
      <c r="K35" s="5">
        <v>43493</v>
      </c>
      <c r="L35" s="5">
        <v>44221</v>
      </c>
      <c r="M35" s="29"/>
      <c r="N35" s="29"/>
      <c r="O35" s="11">
        <f t="shared" ref="N35:O41" si="0">I35-D38</f>
        <v>-14059</v>
      </c>
      <c r="P35" s="29"/>
      <c r="Q35" s="29"/>
      <c r="R35" s="12">
        <f t="shared" ref="Q35:R41" si="1">I35/D38-1</f>
        <v>-0.19460439621283432</v>
      </c>
    </row>
    <row r="36" spans="1:18" x14ac:dyDescent="0.2">
      <c r="A36" s="5">
        <v>43491</v>
      </c>
      <c r="B36" s="26"/>
      <c r="C36" s="26"/>
      <c r="D36" s="11">
        <v>73177</v>
      </c>
      <c r="F36" s="5">
        <v>44222</v>
      </c>
      <c r="G36" s="11">
        <v>65192</v>
      </c>
      <c r="H36" s="11">
        <v>3297</v>
      </c>
      <c r="I36" s="11">
        <v>68489</v>
      </c>
      <c r="K36" s="5">
        <v>43494</v>
      </c>
      <c r="L36" s="5">
        <v>44222</v>
      </c>
      <c r="M36" s="29"/>
      <c r="N36" s="29"/>
      <c r="O36" s="11">
        <f t="shared" si="0"/>
        <v>-9112</v>
      </c>
      <c r="P36" s="29"/>
      <c r="Q36" s="29"/>
      <c r="R36" s="12">
        <f t="shared" si="1"/>
        <v>-0.11742116725299934</v>
      </c>
    </row>
    <row r="37" spans="1:18" x14ac:dyDescent="0.2">
      <c r="A37" s="5">
        <v>43492</v>
      </c>
      <c r="B37" s="26"/>
      <c r="C37" s="26"/>
      <c r="D37" s="11">
        <v>56012</v>
      </c>
      <c r="F37" s="5">
        <v>44223</v>
      </c>
      <c r="G37" s="11">
        <v>61932</v>
      </c>
      <c r="H37" s="11">
        <v>3300</v>
      </c>
      <c r="I37" s="11">
        <v>65232</v>
      </c>
      <c r="K37" s="5">
        <v>43495</v>
      </c>
      <c r="L37" s="5">
        <v>44223</v>
      </c>
      <c r="M37" s="29"/>
      <c r="N37" s="29"/>
      <c r="O37" s="11">
        <f t="shared" si="0"/>
        <v>-12437</v>
      </c>
      <c r="P37" s="29"/>
      <c r="Q37" s="29"/>
      <c r="R37" s="12">
        <f t="shared" si="1"/>
        <v>-0.16012823649074925</v>
      </c>
    </row>
    <row r="38" spans="1:18" x14ac:dyDescent="0.2">
      <c r="A38" s="5">
        <v>43493</v>
      </c>
      <c r="B38" s="26"/>
      <c r="C38" s="26"/>
      <c r="D38" s="11">
        <v>72244</v>
      </c>
      <c r="F38" s="5">
        <v>44224</v>
      </c>
      <c r="G38" s="11">
        <v>63161</v>
      </c>
      <c r="H38" s="11">
        <v>3210</v>
      </c>
      <c r="I38" s="11">
        <v>66371</v>
      </c>
      <c r="K38" s="5">
        <v>43496</v>
      </c>
      <c r="L38" s="5">
        <v>44224</v>
      </c>
      <c r="M38" s="29"/>
      <c r="N38" s="29"/>
      <c r="O38" s="11">
        <f t="shared" si="0"/>
        <v>-10500</v>
      </c>
      <c r="P38" s="29"/>
      <c r="Q38" s="29"/>
      <c r="R38" s="12">
        <f t="shared" si="1"/>
        <v>-0.13659247310429157</v>
      </c>
    </row>
    <row r="39" spans="1:18" x14ac:dyDescent="0.2">
      <c r="A39" s="5">
        <v>43494</v>
      </c>
      <c r="B39" s="26"/>
      <c r="C39" s="26"/>
      <c r="D39" s="11">
        <v>77601</v>
      </c>
      <c r="F39" s="5">
        <v>44225</v>
      </c>
      <c r="G39" s="11">
        <v>67977</v>
      </c>
      <c r="H39" s="11">
        <v>2976</v>
      </c>
      <c r="I39" s="11">
        <v>70953</v>
      </c>
      <c r="K39" s="5">
        <v>43497</v>
      </c>
      <c r="L39" s="5">
        <v>44225</v>
      </c>
      <c r="M39" s="11">
        <f t="shared" ref="M39:M41" si="2">G39-B42</f>
        <v>-8425</v>
      </c>
      <c r="N39" s="11">
        <f t="shared" si="0"/>
        <v>-403</v>
      </c>
      <c r="O39" s="11">
        <f t="shared" si="0"/>
        <v>-8828</v>
      </c>
      <c r="P39" s="8">
        <f t="shared" ref="P39:P41" si="3">G39/B42-1</f>
        <v>-0.11027198240883751</v>
      </c>
      <c r="Q39" s="8">
        <f t="shared" si="1"/>
        <v>-0.11926605504587151</v>
      </c>
      <c r="R39" s="12">
        <f t="shared" si="1"/>
        <v>-0.11065291234755137</v>
      </c>
    </row>
    <row r="40" spans="1:18" x14ac:dyDescent="0.2">
      <c r="A40" s="5">
        <v>43495</v>
      </c>
      <c r="B40" s="26"/>
      <c r="C40" s="26"/>
      <c r="D40" s="11">
        <v>77669</v>
      </c>
      <c r="F40" s="5">
        <v>44226</v>
      </c>
      <c r="G40" s="11">
        <v>50494</v>
      </c>
      <c r="H40" s="11">
        <v>546</v>
      </c>
      <c r="I40" s="11">
        <v>51040</v>
      </c>
      <c r="K40" s="5">
        <v>43498</v>
      </c>
      <c r="L40" s="5">
        <v>44226</v>
      </c>
      <c r="M40" s="11">
        <f t="shared" si="2"/>
        <v>-17581</v>
      </c>
      <c r="N40" s="11">
        <f t="shared" si="0"/>
        <v>-143</v>
      </c>
      <c r="O40" s="11">
        <f t="shared" si="0"/>
        <v>-17724</v>
      </c>
      <c r="P40" s="8">
        <f t="shared" si="3"/>
        <v>-0.25825927286081529</v>
      </c>
      <c r="Q40" s="8">
        <f t="shared" si="1"/>
        <v>-0.20754716981132071</v>
      </c>
      <c r="R40" s="12">
        <f t="shared" si="1"/>
        <v>-0.25775114885696004</v>
      </c>
    </row>
    <row r="41" spans="1:18" x14ac:dyDescent="0.2">
      <c r="A41" s="5">
        <v>43496</v>
      </c>
      <c r="B41" s="27"/>
      <c r="C41" s="27"/>
      <c r="D41" s="11">
        <v>76871</v>
      </c>
      <c r="F41" s="5">
        <v>44227</v>
      </c>
      <c r="G41" s="11">
        <v>44654</v>
      </c>
      <c r="H41" s="11">
        <v>109</v>
      </c>
      <c r="I41" s="11">
        <v>44763</v>
      </c>
      <c r="K41" s="5">
        <v>43499</v>
      </c>
      <c r="L41" s="5">
        <v>44227</v>
      </c>
      <c r="M41" s="11">
        <f t="shared" si="2"/>
        <v>-2646</v>
      </c>
      <c r="N41" s="11">
        <f t="shared" si="0"/>
        <v>-80</v>
      </c>
      <c r="O41" s="11">
        <f t="shared" si="0"/>
        <v>-2726</v>
      </c>
      <c r="P41" s="8">
        <f t="shared" si="3"/>
        <v>-5.5940803382663828E-2</v>
      </c>
      <c r="Q41" s="8">
        <f t="shared" si="1"/>
        <v>-0.42328042328042326</v>
      </c>
      <c r="R41" s="12">
        <f t="shared" si="1"/>
        <v>-5.7402766956558327E-2</v>
      </c>
    </row>
    <row r="42" spans="1:18" x14ac:dyDescent="0.2">
      <c r="A42" s="5">
        <v>43497</v>
      </c>
      <c r="B42" s="20">
        <v>76402</v>
      </c>
      <c r="C42" s="20">
        <v>3379</v>
      </c>
      <c r="D42" s="20">
        <v>79781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">
      <c r="A43" s="5">
        <v>43498</v>
      </c>
      <c r="B43" s="20">
        <v>68075</v>
      </c>
      <c r="C43" s="20">
        <v>689</v>
      </c>
      <c r="D43" s="20">
        <v>68764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">
      <c r="A44" s="5">
        <v>43499</v>
      </c>
      <c r="B44" s="20">
        <v>47300</v>
      </c>
      <c r="C44" s="20">
        <v>189</v>
      </c>
      <c r="D44" s="20">
        <v>47489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">
      <c r="A45" s="5"/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3" t="s">
        <v>4</v>
      </c>
      <c r="B47" s="6"/>
      <c r="C47" s="6"/>
      <c r="D47" s="3"/>
      <c r="F47" s="23" t="s">
        <v>4</v>
      </c>
      <c r="G47" s="6"/>
      <c r="H47" s="6"/>
      <c r="I47" s="3"/>
      <c r="K47" s="23" t="s">
        <v>5</v>
      </c>
      <c r="L47" s="23"/>
      <c r="M47" s="6"/>
      <c r="N47" s="6"/>
      <c r="O47" s="3"/>
      <c r="P47" s="6"/>
      <c r="Q47" s="6"/>
      <c r="R47" s="3"/>
    </row>
    <row r="48" spans="1:18" ht="26.45" customHeight="1" x14ac:dyDescent="0.2">
      <c r="A48" s="24"/>
      <c r="B48" s="7" t="s">
        <v>38</v>
      </c>
      <c r="C48" s="4" t="s">
        <v>2</v>
      </c>
      <c r="D48" s="4" t="s">
        <v>0</v>
      </c>
      <c r="F48" s="24"/>
      <c r="G48" s="7" t="s">
        <v>38</v>
      </c>
      <c r="H48" s="4" t="s">
        <v>2</v>
      </c>
      <c r="I48" s="4" t="s">
        <v>0</v>
      </c>
      <c r="K48" s="24"/>
      <c r="L48" s="24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ht="12.6" customHeight="1" x14ac:dyDescent="0.2">
      <c r="A49" s="5">
        <v>43466</v>
      </c>
      <c r="B49" s="25" t="s">
        <v>61</v>
      </c>
      <c r="C49" s="25"/>
      <c r="D49" s="11">
        <v>23390</v>
      </c>
      <c r="F49" s="5">
        <v>44197</v>
      </c>
      <c r="G49" s="11">
        <v>16709</v>
      </c>
      <c r="H49" s="11">
        <v>58</v>
      </c>
      <c r="I49" s="11">
        <v>16767</v>
      </c>
      <c r="K49" s="5">
        <v>43469</v>
      </c>
      <c r="L49" s="5">
        <v>44197</v>
      </c>
      <c r="M49" s="28" t="s">
        <v>62</v>
      </c>
      <c r="N49" s="28"/>
      <c r="O49" s="11">
        <v>-19056</v>
      </c>
      <c r="P49" s="28" t="s">
        <v>62</v>
      </c>
      <c r="Q49" s="28"/>
      <c r="R49" s="12">
        <v>-0.5319487480110543</v>
      </c>
    </row>
    <row r="50" spans="1:18" x14ac:dyDescent="0.2">
      <c r="A50" s="5">
        <v>43467</v>
      </c>
      <c r="B50" s="26"/>
      <c r="C50" s="26"/>
      <c r="D50" s="11">
        <v>24474</v>
      </c>
      <c r="F50" s="5">
        <v>44198</v>
      </c>
      <c r="G50" s="11">
        <v>22124</v>
      </c>
      <c r="H50" s="11">
        <v>95</v>
      </c>
      <c r="I50" s="11">
        <v>22219</v>
      </c>
      <c r="K50" s="5">
        <v>43470</v>
      </c>
      <c r="L50" s="5">
        <v>44198</v>
      </c>
      <c r="M50" s="29"/>
      <c r="N50" s="29"/>
      <c r="O50" s="11">
        <v>-4449</v>
      </c>
      <c r="P50" s="29"/>
      <c r="Q50" s="29"/>
      <c r="R50" s="12">
        <v>-0.16682915854207292</v>
      </c>
    </row>
    <row r="51" spans="1:18" x14ac:dyDescent="0.2">
      <c r="A51" s="5">
        <v>43468</v>
      </c>
      <c r="B51" s="26"/>
      <c r="C51" s="26"/>
      <c r="D51" s="11">
        <v>35612</v>
      </c>
      <c r="F51" s="5">
        <v>44199</v>
      </c>
      <c r="G51" s="11">
        <v>19244</v>
      </c>
      <c r="H51" s="11">
        <v>60</v>
      </c>
      <c r="I51" s="11">
        <v>19304</v>
      </c>
      <c r="K51" s="5">
        <v>43471</v>
      </c>
      <c r="L51" s="5">
        <v>44199</v>
      </c>
      <c r="M51" s="29"/>
      <c r="N51" s="29"/>
      <c r="O51" s="11">
        <v>-2531</v>
      </c>
      <c r="P51" s="29"/>
      <c r="Q51" s="29"/>
      <c r="R51" s="12">
        <v>-0.1159148156629265</v>
      </c>
    </row>
    <row r="52" spans="1:18" x14ac:dyDescent="0.2">
      <c r="A52" s="5">
        <v>43469</v>
      </c>
      <c r="B52" s="26"/>
      <c r="C52" s="26"/>
      <c r="D52" s="11">
        <v>35823</v>
      </c>
      <c r="F52" s="5">
        <v>44200</v>
      </c>
      <c r="G52" s="11">
        <v>29885</v>
      </c>
      <c r="H52" s="11">
        <v>956</v>
      </c>
      <c r="I52" s="11">
        <v>30841</v>
      </c>
      <c r="K52" s="5">
        <v>43472</v>
      </c>
      <c r="L52" s="5">
        <v>44200</v>
      </c>
      <c r="M52" s="29"/>
      <c r="N52" s="29"/>
      <c r="O52" s="11">
        <v>-3661</v>
      </c>
      <c r="P52" s="29"/>
      <c r="Q52" s="29"/>
      <c r="R52" s="12">
        <v>-0.10610979073676885</v>
      </c>
    </row>
    <row r="53" spans="1:18" x14ac:dyDescent="0.2">
      <c r="A53" s="5">
        <v>43470</v>
      </c>
      <c r="B53" s="26"/>
      <c r="C53" s="26"/>
      <c r="D53" s="11">
        <v>26668</v>
      </c>
      <c r="F53" s="5">
        <v>44201</v>
      </c>
      <c r="G53" s="11">
        <v>30698</v>
      </c>
      <c r="H53" s="11">
        <v>1089</v>
      </c>
      <c r="I53" s="11">
        <v>31787</v>
      </c>
      <c r="K53" s="5">
        <v>43473</v>
      </c>
      <c r="L53" s="5">
        <v>44201</v>
      </c>
      <c r="M53" s="29"/>
      <c r="N53" s="29"/>
      <c r="O53" s="11">
        <v>-3311</v>
      </c>
      <c r="P53" s="29"/>
      <c r="Q53" s="29"/>
      <c r="R53" s="12">
        <v>-9.4335859593139171E-2</v>
      </c>
    </row>
    <row r="54" spans="1:18" x14ac:dyDescent="0.2">
      <c r="A54" s="5">
        <v>43471</v>
      </c>
      <c r="B54" s="26"/>
      <c r="C54" s="26"/>
      <c r="D54" s="11">
        <v>21835</v>
      </c>
      <c r="F54" s="5">
        <v>44202</v>
      </c>
      <c r="G54" s="11">
        <v>31635</v>
      </c>
      <c r="H54" s="11">
        <v>1103</v>
      </c>
      <c r="I54" s="11">
        <v>32738</v>
      </c>
      <c r="K54" s="5">
        <v>43474</v>
      </c>
      <c r="L54" s="5">
        <v>44202</v>
      </c>
      <c r="M54" s="29"/>
      <c r="N54" s="29"/>
      <c r="O54" s="11">
        <v>-1105</v>
      </c>
      <c r="P54" s="29"/>
      <c r="Q54" s="29"/>
      <c r="R54" s="12">
        <v>-3.2650769730815821E-2</v>
      </c>
    </row>
    <row r="55" spans="1:18" x14ac:dyDescent="0.2">
      <c r="A55" s="5">
        <v>43472</v>
      </c>
      <c r="B55" s="26"/>
      <c r="C55" s="26"/>
      <c r="D55" s="11">
        <v>34502</v>
      </c>
      <c r="F55" s="5">
        <v>44203</v>
      </c>
      <c r="G55" s="11">
        <v>34678</v>
      </c>
      <c r="H55" s="11">
        <v>1131</v>
      </c>
      <c r="I55" s="11">
        <v>35809</v>
      </c>
      <c r="K55" s="5">
        <v>43475</v>
      </c>
      <c r="L55" s="5">
        <v>44203</v>
      </c>
      <c r="M55" s="29"/>
      <c r="N55" s="29"/>
      <c r="O55" s="11">
        <v>130</v>
      </c>
      <c r="P55" s="29"/>
      <c r="Q55" s="29"/>
      <c r="R55" s="12">
        <v>3.6435998766781719E-3</v>
      </c>
    </row>
    <row r="56" spans="1:18" x14ac:dyDescent="0.2">
      <c r="A56" s="5">
        <v>43473</v>
      </c>
      <c r="B56" s="26"/>
      <c r="C56" s="26"/>
      <c r="D56" s="11">
        <v>35098</v>
      </c>
      <c r="F56" s="5">
        <v>44204</v>
      </c>
      <c r="G56" s="11">
        <v>36960</v>
      </c>
      <c r="H56" s="11">
        <v>1152</v>
      </c>
      <c r="I56" s="11">
        <v>38112</v>
      </c>
      <c r="K56" s="5">
        <v>43476</v>
      </c>
      <c r="L56" s="5">
        <v>44204</v>
      </c>
      <c r="M56" s="29"/>
      <c r="N56" s="29"/>
      <c r="O56" s="11">
        <v>-3271</v>
      </c>
      <c r="P56" s="29"/>
      <c r="Q56" s="29"/>
      <c r="R56" s="12">
        <v>-7.9042118744411916E-2</v>
      </c>
    </row>
    <row r="57" spans="1:18" x14ac:dyDescent="0.2">
      <c r="A57" s="5">
        <v>43474</v>
      </c>
      <c r="B57" s="26"/>
      <c r="C57" s="26"/>
      <c r="D57" s="11">
        <v>33843</v>
      </c>
      <c r="F57" s="5">
        <v>44205</v>
      </c>
      <c r="G57" s="11">
        <v>29852</v>
      </c>
      <c r="H57" s="11">
        <v>310</v>
      </c>
      <c r="I57" s="11">
        <v>30162</v>
      </c>
      <c r="K57" s="5">
        <v>43477</v>
      </c>
      <c r="L57" s="5">
        <v>44205</v>
      </c>
      <c r="M57" s="29"/>
      <c r="N57" s="29"/>
      <c r="O57" s="11">
        <v>-2673</v>
      </c>
      <c r="P57" s="29"/>
      <c r="Q57" s="29"/>
      <c r="R57" s="12">
        <v>-8.1407035175879439E-2</v>
      </c>
    </row>
    <row r="58" spans="1:18" x14ac:dyDescent="0.2">
      <c r="A58" s="5">
        <v>43475</v>
      </c>
      <c r="B58" s="26"/>
      <c r="C58" s="26"/>
      <c r="D58" s="11">
        <v>35679</v>
      </c>
      <c r="F58" s="5">
        <v>44206</v>
      </c>
      <c r="G58" s="11">
        <v>21521</v>
      </c>
      <c r="H58" s="11">
        <v>57</v>
      </c>
      <c r="I58" s="11">
        <v>21578</v>
      </c>
      <c r="K58" s="5">
        <v>43478</v>
      </c>
      <c r="L58" s="5">
        <v>44206</v>
      </c>
      <c r="M58" s="29"/>
      <c r="N58" s="29"/>
      <c r="O58" s="11">
        <v>-368</v>
      </c>
      <c r="P58" s="29"/>
      <c r="Q58" s="29"/>
      <c r="R58" s="12">
        <v>-1.6768431604848311E-2</v>
      </c>
    </row>
    <row r="59" spans="1:18" x14ac:dyDescent="0.2">
      <c r="A59" s="5">
        <v>43476</v>
      </c>
      <c r="B59" s="26"/>
      <c r="C59" s="26"/>
      <c r="D59" s="11">
        <v>41383</v>
      </c>
      <c r="F59" s="5">
        <v>44207</v>
      </c>
      <c r="G59" s="11">
        <v>33543</v>
      </c>
      <c r="H59" s="11">
        <v>1431</v>
      </c>
      <c r="I59" s="11">
        <v>34974</v>
      </c>
      <c r="K59" s="5">
        <v>43479</v>
      </c>
      <c r="L59" s="5">
        <v>44207</v>
      </c>
      <c r="M59" s="29"/>
      <c r="N59" s="29"/>
      <c r="O59" s="11">
        <v>-1247</v>
      </c>
      <c r="P59" s="29"/>
      <c r="Q59" s="29"/>
      <c r="R59" s="12">
        <v>-3.4427542033626857E-2</v>
      </c>
    </row>
    <row r="60" spans="1:18" x14ac:dyDescent="0.2">
      <c r="A60" s="5">
        <v>43477</v>
      </c>
      <c r="B60" s="26"/>
      <c r="C60" s="26"/>
      <c r="D60" s="11">
        <v>32835</v>
      </c>
      <c r="F60" s="5">
        <v>44208</v>
      </c>
      <c r="G60" s="11">
        <v>30733</v>
      </c>
      <c r="H60" s="11">
        <v>1582</v>
      </c>
      <c r="I60" s="11">
        <v>32315</v>
      </c>
      <c r="K60" s="5">
        <v>43480</v>
      </c>
      <c r="L60" s="5">
        <v>44208</v>
      </c>
      <c r="M60" s="29"/>
      <c r="N60" s="29"/>
      <c r="O60" s="11">
        <v>-5544</v>
      </c>
      <c r="P60" s="29"/>
      <c r="Q60" s="29"/>
      <c r="R60" s="12">
        <v>-0.14643809926305507</v>
      </c>
    </row>
    <row r="61" spans="1:18" x14ac:dyDescent="0.2">
      <c r="A61" s="5">
        <v>43478</v>
      </c>
      <c r="B61" s="26"/>
      <c r="C61" s="26"/>
      <c r="D61" s="11">
        <v>21946</v>
      </c>
      <c r="F61" s="5">
        <v>44209</v>
      </c>
      <c r="G61" s="11">
        <v>32537</v>
      </c>
      <c r="H61" s="11">
        <v>1569</v>
      </c>
      <c r="I61" s="11">
        <v>34106</v>
      </c>
      <c r="K61" s="5">
        <v>43481</v>
      </c>
      <c r="L61" s="5">
        <v>44209</v>
      </c>
      <c r="M61" s="29"/>
      <c r="N61" s="29"/>
      <c r="O61" s="11">
        <v>-6254</v>
      </c>
      <c r="P61" s="29"/>
      <c r="Q61" s="29"/>
      <c r="R61" s="12">
        <v>-0.1549554013875124</v>
      </c>
    </row>
    <row r="62" spans="1:18" x14ac:dyDescent="0.2">
      <c r="A62" s="5">
        <v>43479</v>
      </c>
      <c r="B62" s="26"/>
      <c r="C62" s="26"/>
      <c r="D62" s="11">
        <v>36221</v>
      </c>
      <c r="F62" s="5">
        <v>44210</v>
      </c>
      <c r="G62" s="11">
        <v>33632</v>
      </c>
      <c r="H62" s="11">
        <v>1486</v>
      </c>
      <c r="I62" s="11">
        <v>35118</v>
      </c>
      <c r="K62" s="5">
        <v>43482</v>
      </c>
      <c r="L62" s="5">
        <v>44210</v>
      </c>
      <c r="M62" s="29"/>
      <c r="N62" s="29"/>
      <c r="O62" s="11">
        <v>-3145</v>
      </c>
      <c r="P62" s="29"/>
      <c r="Q62" s="29"/>
      <c r="R62" s="12">
        <v>-8.2194286909024417E-2</v>
      </c>
    </row>
    <row r="63" spans="1:18" x14ac:dyDescent="0.2">
      <c r="A63" s="5">
        <v>43480</v>
      </c>
      <c r="B63" s="26"/>
      <c r="C63" s="26"/>
      <c r="D63" s="11">
        <v>37859</v>
      </c>
      <c r="F63" s="5">
        <v>44211</v>
      </c>
      <c r="G63" s="11">
        <v>35820</v>
      </c>
      <c r="H63" s="11">
        <v>1429</v>
      </c>
      <c r="I63" s="11">
        <v>37249</v>
      </c>
      <c r="K63" s="5">
        <v>43483</v>
      </c>
      <c r="L63" s="5">
        <v>44211</v>
      </c>
      <c r="M63" s="29"/>
      <c r="N63" s="29"/>
      <c r="O63" s="11">
        <v>-6298</v>
      </c>
      <c r="P63" s="29"/>
      <c r="Q63" s="29"/>
      <c r="R63" s="12">
        <v>-0.14462534732587784</v>
      </c>
    </row>
    <row r="64" spans="1:18" x14ac:dyDescent="0.2">
      <c r="A64" s="5">
        <v>43481</v>
      </c>
      <c r="B64" s="26"/>
      <c r="C64" s="26"/>
      <c r="D64" s="11">
        <v>40360</v>
      </c>
      <c r="F64" s="5">
        <v>44212</v>
      </c>
      <c r="G64" s="11">
        <v>30856</v>
      </c>
      <c r="H64" s="11">
        <v>312</v>
      </c>
      <c r="I64" s="11">
        <v>31168</v>
      </c>
      <c r="K64" s="5">
        <v>43484</v>
      </c>
      <c r="L64" s="5">
        <v>44212</v>
      </c>
      <c r="M64" s="29"/>
      <c r="N64" s="29"/>
      <c r="O64" s="11">
        <v>-5867</v>
      </c>
      <c r="P64" s="29"/>
      <c r="Q64" s="29"/>
      <c r="R64" s="12">
        <v>-0.15841771297421359</v>
      </c>
    </row>
    <row r="65" spans="1:18" x14ac:dyDescent="0.2">
      <c r="A65" s="5">
        <v>43482</v>
      </c>
      <c r="B65" s="26"/>
      <c r="C65" s="26"/>
      <c r="D65" s="11">
        <v>38263</v>
      </c>
      <c r="F65" s="5">
        <v>44213</v>
      </c>
      <c r="G65" s="11">
        <v>16354</v>
      </c>
      <c r="H65" s="11">
        <v>69</v>
      </c>
      <c r="I65" s="11">
        <v>16423</v>
      </c>
      <c r="K65" s="5">
        <v>43485</v>
      </c>
      <c r="L65" s="5">
        <v>44213</v>
      </c>
      <c r="M65" s="29"/>
      <c r="N65" s="29"/>
      <c r="O65" s="11">
        <v>-9646</v>
      </c>
      <c r="P65" s="29"/>
      <c r="Q65" s="29"/>
      <c r="R65" s="12">
        <v>-0.37001802907668113</v>
      </c>
    </row>
    <row r="66" spans="1:18" x14ac:dyDescent="0.2">
      <c r="A66" s="5">
        <v>43483</v>
      </c>
      <c r="B66" s="26"/>
      <c r="C66" s="26"/>
      <c r="D66" s="11">
        <v>43547</v>
      </c>
      <c r="F66" s="5">
        <v>44214</v>
      </c>
      <c r="G66" s="11">
        <v>30754</v>
      </c>
      <c r="H66" s="11">
        <v>1501</v>
      </c>
      <c r="I66" s="11">
        <v>32255</v>
      </c>
      <c r="K66" s="5">
        <v>43486</v>
      </c>
      <c r="L66" s="5">
        <v>44214</v>
      </c>
      <c r="M66" s="29"/>
      <c r="N66" s="29"/>
      <c r="O66" s="11">
        <v>-5328</v>
      </c>
      <c r="P66" s="29"/>
      <c r="Q66" s="29"/>
      <c r="R66" s="12">
        <v>-0.14176622409067929</v>
      </c>
    </row>
    <row r="67" spans="1:18" x14ac:dyDescent="0.2">
      <c r="A67" s="5">
        <v>43484</v>
      </c>
      <c r="B67" s="26"/>
      <c r="C67" s="26"/>
      <c r="D67" s="11">
        <v>37035</v>
      </c>
      <c r="F67" s="5">
        <v>44215</v>
      </c>
      <c r="G67" s="11">
        <v>32381</v>
      </c>
      <c r="H67" s="11">
        <v>1795</v>
      </c>
      <c r="I67" s="11">
        <v>34176</v>
      </c>
      <c r="K67" s="5">
        <v>43487</v>
      </c>
      <c r="L67" s="5">
        <v>44215</v>
      </c>
      <c r="M67" s="29"/>
      <c r="N67" s="29"/>
      <c r="O67" s="11">
        <v>-4882</v>
      </c>
      <c r="P67" s="29"/>
      <c r="Q67" s="29"/>
      <c r="R67" s="12">
        <v>-0.12499359926263509</v>
      </c>
    </row>
    <row r="68" spans="1:18" x14ac:dyDescent="0.2">
      <c r="A68" s="5">
        <v>43485</v>
      </c>
      <c r="B68" s="26"/>
      <c r="C68" s="26"/>
      <c r="D68" s="11">
        <v>26069</v>
      </c>
      <c r="F68" s="5">
        <v>44216</v>
      </c>
      <c r="G68" s="11">
        <v>33071</v>
      </c>
      <c r="H68" s="11">
        <v>1661</v>
      </c>
      <c r="I68" s="11">
        <v>34732</v>
      </c>
      <c r="K68" s="5">
        <v>43488</v>
      </c>
      <c r="L68" s="5">
        <v>44216</v>
      </c>
      <c r="M68" s="29"/>
      <c r="N68" s="29"/>
      <c r="O68" s="11">
        <v>-4098</v>
      </c>
      <c r="P68" s="29"/>
      <c r="Q68" s="29"/>
      <c r="R68" s="12">
        <v>-0.10553695596188517</v>
      </c>
    </row>
    <row r="69" spans="1:18" x14ac:dyDescent="0.2">
      <c r="A69" s="5">
        <v>43486</v>
      </c>
      <c r="B69" s="26"/>
      <c r="C69" s="26"/>
      <c r="D69" s="11">
        <v>37583</v>
      </c>
      <c r="F69" s="5">
        <v>44217</v>
      </c>
      <c r="G69" s="11">
        <v>31609</v>
      </c>
      <c r="H69" s="11">
        <v>1529</v>
      </c>
      <c r="I69" s="11">
        <v>33138</v>
      </c>
      <c r="K69" s="5">
        <v>43489</v>
      </c>
      <c r="L69" s="5">
        <v>44217</v>
      </c>
      <c r="M69" s="29"/>
      <c r="N69" s="29"/>
      <c r="O69" s="11">
        <v>-6592</v>
      </c>
      <c r="P69" s="29"/>
      <c r="Q69" s="29"/>
      <c r="R69" s="12">
        <v>-0.16591995972816509</v>
      </c>
    </row>
    <row r="70" spans="1:18" x14ac:dyDescent="0.2">
      <c r="A70" s="5">
        <v>43487</v>
      </c>
      <c r="B70" s="26"/>
      <c r="C70" s="26"/>
      <c r="D70" s="11">
        <v>39058</v>
      </c>
      <c r="F70" s="5">
        <v>44218</v>
      </c>
      <c r="G70" s="11">
        <v>36256</v>
      </c>
      <c r="H70" s="11">
        <v>1526</v>
      </c>
      <c r="I70" s="11">
        <v>37782</v>
      </c>
      <c r="K70" s="5">
        <v>43490</v>
      </c>
      <c r="L70" s="5">
        <v>44218</v>
      </c>
      <c r="M70" s="29"/>
      <c r="N70" s="29"/>
      <c r="O70" s="11">
        <v>-7246</v>
      </c>
      <c r="P70" s="29"/>
      <c r="Q70" s="29"/>
      <c r="R70" s="12">
        <v>-0.16092209291996096</v>
      </c>
    </row>
    <row r="71" spans="1:18" x14ac:dyDescent="0.2">
      <c r="A71" s="5">
        <v>43488</v>
      </c>
      <c r="B71" s="26"/>
      <c r="C71" s="26"/>
      <c r="D71" s="11">
        <v>38830</v>
      </c>
      <c r="F71" s="5">
        <v>44219</v>
      </c>
      <c r="G71" s="11">
        <v>27284</v>
      </c>
      <c r="H71" s="11">
        <v>332</v>
      </c>
      <c r="I71" s="11">
        <v>27616</v>
      </c>
      <c r="K71" s="5">
        <v>43491</v>
      </c>
      <c r="L71" s="5">
        <v>44219</v>
      </c>
      <c r="M71" s="29"/>
      <c r="N71" s="29"/>
      <c r="O71" s="11">
        <v>-10447</v>
      </c>
      <c r="P71" s="29"/>
      <c r="Q71" s="29"/>
      <c r="R71" s="12">
        <v>-0.27446601686677352</v>
      </c>
    </row>
    <row r="72" spans="1:18" x14ac:dyDescent="0.2">
      <c r="A72" s="5">
        <v>43489</v>
      </c>
      <c r="B72" s="26"/>
      <c r="C72" s="26"/>
      <c r="D72" s="11">
        <v>39730</v>
      </c>
      <c r="F72" s="5">
        <v>44220</v>
      </c>
      <c r="G72" s="11">
        <v>23449</v>
      </c>
      <c r="H72" s="11">
        <v>75</v>
      </c>
      <c r="I72" s="11">
        <v>23524</v>
      </c>
      <c r="K72" s="5">
        <v>43492</v>
      </c>
      <c r="L72" s="5">
        <v>44220</v>
      </c>
      <c r="M72" s="29"/>
      <c r="N72" s="29"/>
      <c r="O72" s="11">
        <v>-2192</v>
      </c>
      <c r="P72" s="29"/>
      <c r="Q72" s="29"/>
      <c r="R72" s="12">
        <v>-8.5238761860320422E-2</v>
      </c>
    </row>
    <row r="73" spans="1:18" x14ac:dyDescent="0.2">
      <c r="A73" s="5">
        <v>43490</v>
      </c>
      <c r="B73" s="26"/>
      <c r="C73" s="26"/>
      <c r="D73" s="11">
        <v>45028</v>
      </c>
      <c r="F73" s="5">
        <v>44221</v>
      </c>
      <c r="G73" s="11">
        <v>27092</v>
      </c>
      <c r="H73" s="11">
        <v>1454</v>
      </c>
      <c r="I73" s="11">
        <v>28546</v>
      </c>
      <c r="K73" s="5">
        <v>43493</v>
      </c>
      <c r="L73" s="5">
        <v>44221</v>
      </c>
      <c r="M73" s="29"/>
      <c r="N73" s="29"/>
      <c r="O73" s="11">
        <f t="shared" ref="O73:O75" si="4">I73-D76</f>
        <v>-7226</v>
      </c>
      <c r="P73" s="29"/>
      <c r="Q73" s="29"/>
      <c r="R73" s="12">
        <f t="shared" ref="R73:R75" si="5">I73/D76-1</f>
        <v>-0.20200156547020021</v>
      </c>
    </row>
    <row r="74" spans="1:18" x14ac:dyDescent="0.2">
      <c r="A74" s="5">
        <v>43491</v>
      </c>
      <c r="B74" s="26"/>
      <c r="C74" s="26"/>
      <c r="D74" s="11">
        <v>38063</v>
      </c>
      <c r="F74" s="5">
        <v>44222</v>
      </c>
      <c r="G74" s="11">
        <v>32454</v>
      </c>
      <c r="H74" s="11">
        <v>1632</v>
      </c>
      <c r="I74" s="11">
        <v>34086</v>
      </c>
      <c r="K74" s="5">
        <v>43494</v>
      </c>
      <c r="L74" s="5">
        <v>44222</v>
      </c>
      <c r="M74" s="29"/>
      <c r="N74" s="29"/>
      <c r="O74" s="11">
        <f t="shared" si="4"/>
        <v>-4496</v>
      </c>
      <c r="P74" s="29"/>
      <c r="Q74" s="29"/>
      <c r="R74" s="12">
        <f t="shared" si="5"/>
        <v>-0.1165310248302317</v>
      </c>
    </row>
    <row r="75" spans="1:18" x14ac:dyDescent="0.2">
      <c r="A75" s="5">
        <v>43492</v>
      </c>
      <c r="B75" s="26"/>
      <c r="C75" s="26"/>
      <c r="D75" s="11">
        <v>25716</v>
      </c>
      <c r="F75" s="5">
        <v>44223</v>
      </c>
      <c r="G75" s="11">
        <v>30672</v>
      </c>
      <c r="H75" s="11">
        <v>1613</v>
      </c>
      <c r="I75" s="11">
        <v>32285</v>
      </c>
      <c r="K75" s="5">
        <v>43495</v>
      </c>
      <c r="L75" s="5">
        <v>44223</v>
      </c>
      <c r="M75" s="29"/>
      <c r="N75" s="29"/>
      <c r="O75" s="11">
        <f t="shared" si="4"/>
        <v>-6172</v>
      </c>
      <c r="P75" s="29"/>
      <c r="Q75" s="29"/>
      <c r="R75" s="12">
        <f t="shared" si="5"/>
        <v>-0.16049093793067581</v>
      </c>
    </row>
    <row r="76" spans="1:18" x14ac:dyDescent="0.2">
      <c r="A76" s="5">
        <v>43493</v>
      </c>
      <c r="B76" s="26"/>
      <c r="C76" s="26"/>
      <c r="D76" s="11">
        <v>35772</v>
      </c>
      <c r="F76" s="5">
        <v>44224</v>
      </c>
      <c r="G76" s="11">
        <v>31441</v>
      </c>
      <c r="H76" s="11">
        <v>1573</v>
      </c>
      <c r="I76" s="11">
        <v>33014</v>
      </c>
      <c r="K76" s="5">
        <v>43496</v>
      </c>
      <c r="L76" s="5">
        <v>44224</v>
      </c>
      <c r="M76" s="29"/>
      <c r="N76" s="29"/>
      <c r="O76" s="11">
        <f t="shared" ref="O76:O79" si="6">I76-D79</f>
        <v>-5629</v>
      </c>
      <c r="P76" s="29"/>
      <c r="Q76" s="29"/>
      <c r="R76" s="12">
        <f t="shared" ref="R76:R79" si="7">I76/D79-1</f>
        <v>-0.14566674430039073</v>
      </c>
    </row>
    <row r="77" spans="1:18" x14ac:dyDescent="0.2">
      <c r="A77" s="5">
        <v>43494</v>
      </c>
      <c r="B77" s="26"/>
      <c r="C77" s="26"/>
      <c r="D77" s="11">
        <v>38582</v>
      </c>
      <c r="F77" s="5">
        <v>44225</v>
      </c>
      <c r="G77" s="11">
        <v>34210</v>
      </c>
      <c r="H77" s="11">
        <v>1463</v>
      </c>
      <c r="I77" s="11">
        <v>35673</v>
      </c>
      <c r="K77" s="5">
        <v>43497</v>
      </c>
      <c r="L77" s="5">
        <v>44225</v>
      </c>
      <c r="M77" s="11">
        <f t="shared" ref="M77:M79" si="8">G77-B80</f>
        <v>-4265</v>
      </c>
      <c r="N77" s="11">
        <f t="shared" ref="N77:N79" si="9">H77-C80</f>
        <v>-202</v>
      </c>
      <c r="O77" s="11">
        <f t="shared" si="6"/>
        <v>-4467</v>
      </c>
      <c r="P77" s="8">
        <f t="shared" ref="P77:P79" si="10">G77/B80-1</f>
        <v>-0.11085120207927224</v>
      </c>
      <c r="Q77" s="8">
        <f t="shared" ref="Q77:Q79" si="11">H77/C80-1</f>
        <v>-0.12132132132132134</v>
      </c>
      <c r="R77" s="12">
        <f t="shared" si="7"/>
        <v>-0.11128550074738419</v>
      </c>
    </row>
    <row r="78" spans="1:18" x14ac:dyDescent="0.2">
      <c r="A78" s="5">
        <v>43495</v>
      </c>
      <c r="B78" s="26"/>
      <c r="C78" s="26"/>
      <c r="D78" s="11">
        <v>38457</v>
      </c>
      <c r="F78" s="5">
        <v>44226</v>
      </c>
      <c r="G78" s="11">
        <v>26379</v>
      </c>
      <c r="H78" s="11">
        <v>255</v>
      </c>
      <c r="I78" s="11">
        <v>26634</v>
      </c>
      <c r="K78" s="5">
        <v>43498</v>
      </c>
      <c r="L78" s="5">
        <v>44226</v>
      </c>
      <c r="M78" s="11">
        <f t="shared" si="8"/>
        <v>-8903</v>
      </c>
      <c r="N78" s="11">
        <f t="shared" si="9"/>
        <v>-97</v>
      </c>
      <c r="O78" s="11">
        <f t="shared" si="6"/>
        <v>-9000</v>
      </c>
      <c r="P78" s="8">
        <f t="shared" si="10"/>
        <v>-0.25233830281730063</v>
      </c>
      <c r="Q78" s="8">
        <f t="shared" si="11"/>
        <v>-0.27556818181818177</v>
      </c>
      <c r="R78" s="12">
        <f t="shared" si="7"/>
        <v>-0.25256777235224781</v>
      </c>
    </row>
    <row r="79" spans="1:18" x14ac:dyDescent="0.2">
      <c r="A79" s="5">
        <v>43496</v>
      </c>
      <c r="B79" s="27"/>
      <c r="C79" s="27"/>
      <c r="D79" s="11">
        <v>38643</v>
      </c>
      <c r="F79" s="5">
        <v>44227</v>
      </c>
      <c r="G79" s="11">
        <v>20931</v>
      </c>
      <c r="H79" s="11">
        <v>59</v>
      </c>
      <c r="I79" s="11">
        <v>20990</v>
      </c>
      <c r="K79" s="5">
        <v>43499</v>
      </c>
      <c r="L79" s="5">
        <v>44227</v>
      </c>
      <c r="M79" s="11">
        <f t="shared" si="8"/>
        <v>-929</v>
      </c>
      <c r="N79" s="11">
        <f t="shared" si="9"/>
        <v>-30</v>
      </c>
      <c r="O79" s="11">
        <f t="shared" si="6"/>
        <v>-959</v>
      </c>
      <c r="P79" s="8">
        <f t="shared" si="10"/>
        <v>-4.2497712717291858E-2</v>
      </c>
      <c r="Q79" s="8">
        <f t="shared" si="11"/>
        <v>-0.3370786516853933</v>
      </c>
      <c r="R79" s="12">
        <f t="shared" si="7"/>
        <v>-4.3692195544216106E-2</v>
      </c>
    </row>
    <row r="80" spans="1:18" x14ac:dyDescent="0.2">
      <c r="A80" s="5">
        <v>43497</v>
      </c>
      <c r="B80" s="20">
        <v>38475</v>
      </c>
      <c r="C80" s="20">
        <v>1665</v>
      </c>
      <c r="D80" s="20">
        <v>40140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">
      <c r="A81" s="5">
        <v>43498</v>
      </c>
      <c r="B81" s="20">
        <v>35282</v>
      </c>
      <c r="C81" s="20">
        <v>352</v>
      </c>
      <c r="D81" s="20">
        <v>35634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2">
      <c r="A82" s="5">
        <v>43499</v>
      </c>
      <c r="B82" s="20">
        <v>21860</v>
      </c>
      <c r="C82" s="20">
        <v>89</v>
      </c>
      <c r="D82" s="20">
        <v>21949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2">
      <c r="A83" s="5"/>
      <c r="B83" s="11"/>
      <c r="C83" s="11"/>
      <c r="D83" s="11"/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2">
      <c r="B84" s="2"/>
      <c r="C84" s="2"/>
      <c r="G84" s="2"/>
      <c r="H84" s="2"/>
    </row>
    <row r="85" spans="1:18" ht="12.95" customHeight="1" x14ac:dyDescent="0.2">
      <c r="A85" s="23" t="s">
        <v>6</v>
      </c>
      <c r="B85" s="6"/>
      <c r="C85" s="6"/>
      <c r="D85" s="3"/>
      <c r="F85" s="23" t="s">
        <v>6</v>
      </c>
      <c r="G85" s="6"/>
      <c r="H85" s="6"/>
      <c r="I85" s="3"/>
      <c r="K85" s="23" t="s">
        <v>7</v>
      </c>
      <c r="L85" s="23"/>
      <c r="M85" s="6"/>
      <c r="N85" s="6"/>
      <c r="O85" s="3"/>
      <c r="P85" s="6"/>
      <c r="Q85" s="6"/>
      <c r="R85" s="3"/>
    </row>
    <row r="86" spans="1:18" ht="26.45" customHeight="1" x14ac:dyDescent="0.2">
      <c r="A86" s="24"/>
      <c r="B86" s="7" t="s">
        <v>38</v>
      </c>
      <c r="C86" s="4" t="s">
        <v>2</v>
      </c>
      <c r="D86" s="4" t="s">
        <v>0</v>
      </c>
      <c r="F86" s="24"/>
      <c r="G86" s="7" t="s">
        <v>38</v>
      </c>
      <c r="H86" s="4" t="s">
        <v>2</v>
      </c>
      <c r="I86" s="4" t="s">
        <v>0</v>
      </c>
      <c r="K86" s="24"/>
      <c r="L86" s="24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ht="12.6" customHeight="1" x14ac:dyDescent="0.2">
      <c r="A87" s="5">
        <v>43466</v>
      </c>
      <c r="B87" s="25" t="s">
        <v>61</v>
      </c>
      <c r="C87" s="25"/>
      <c r="D87" s="11">
        <v>26299</v>
      </c>
      <c r="F87" s="5">
        <v>44197</v>
      </c>
      <c r="G87" s="11">
        <v>19238</v>
      </c>
      <c r="H87" s="11">
        <v>81</v>
      </c>
      <c r="I87" s="11">
        <v>19319</v>
      </c>
      <c r="K87" s="5">
        <v>43469</v>
      </c>
      <c r="L87" s="5">
        <v>44197</v>
      </c>
      <c r="M87" s="28" t="s">
        <v>62</v>
      </c>
      <c r="N87" s="28"/>
      <c r="O87" s="11">
        <v>-19454</v>
      </c>
      <c r="P87" s="28" t="s">
        <v>62</v>
      </c>
      <c r="Q87" s="28"/>
      <c r="R87" s="12">
        <v>-0.50174090217419343</v>
      </c>
    </row>
    <row r="88" spans="1:18" x14ac:dyDescent="0.2">
      <c r="A88" s="5">
        <v>43467</v>
      </c>
      <c r="B88" s="26"/>
      <c r="C88" s="26"/>
      <c r="D88" s="11">
        <v>28436</v>
      </c>
      <c r="F88" s="5">
        <v>44198</v>
      </c>
      <c r="G88" s="11">
        <v>27275</v>
      </c>
      <c r="H88" s="11">
        <v>127</v>
      </c>
      <c r="I88" s="11">
        <v>27402</v>
      </c>
      <c r="K88" s="5">
        <v>43470</v>
      </c>
      <c r="L88" s="5">
        <v>44198</v>
      </c>
      <c r="M88" s="29"/>
      <c r="N88" s="29"/>
      <c r="O88" s="11">
        <v>-2848</v>
      </c>
      <c r="P88" s="29"/>
      <c r="Q88" s="29"/>
      <c r="R88" s="12">
        <v>-9.4148760330578507E-2</v>
      </c>
    </row>
    <row r="89" spans="1:18" x14ac:dyDescent="0.2">
      <c r="A89" s="5">
        <v>43468</v>
      </c>
      <c r="B89" s="26"/>
      <c r="C89" s="26"/>
      <c r="D89" s="11">
        <v>36946</v>
      </c>
      <c r="F89" s="5">
        <v>44199</v>
      </c>
      <c r="G89" s="11">
        <v>24440</v>
      </c>
      <c r="H89" s="11">
        <v>72</v>
      </c>
      <c r="I89" s="11">
        <v>24512</v>
      </c>
      <c r="K89" s="5">
        <v>43471</v>
      </c>
      <c r="L89" s="5">
        <v>44199</v>
      </c>
      <c r="M89" s="29"/>
      <c r="N89" s="29"/>
      <c r="O89" s="11">
        <v>-1336</v>
      </c>
      <c r="P89" s="29"/>
      <c r="Q89" s="29"/>
      <c r="R89" s="12">
        <v>-5.1686784277313547E-2</v>
      </c>
    </row>
    <row r="90" spans="1:18" x14ac:dyDescent="0.2">
      <c r="A90" s="5">
        <v>43469</v>
      </c>
      <c r="B90" s="26"/>
      <c r="C90" s="26"/>
      <c r="D90" s="11">
        <v>38773</v>
      </c>
      <c r="F90" s="5">
        <v>44200</v>
      </c>
      <c r="G90" s="11">
        <v>30284</v>
      </c>
      <c r="H90" s="11">
        <v>1002</v>
      </c>
      <c r="I90" s="11">
        <v>31286</v>
      </c>
      <c r="K90" s="5">
        <v>43472</v>
      </c>
      <c r="L90" s="5">
        <v>44200</v>
      </c>
      <c r="M90" s="29"/>
      <c r="N90" s="29"/>
      <c r="O90" s="11">
        <v>-4207</v>
      </c>
      <c r="P90" s="29"/>
      <c r="Q90" s="29"/>
      <c r="R90" s="12">
        <v>-0.11853041444791934</v>
      </c>
    </row>
    <row r="91" spans="1:18" x14ac:dyDescent="0.2">
      <c r="A91" s="5">
        <v>43470</v>
      </c>
      <c r="B91" s="26"/>
      <c r="C91" s="26"/>
      <c r="D91" s="11">
        <v>30250</v>
      </c>
      <c r="F91" s="5">
        <v>44201</v>
      </c>
      <c r="G91" s="11">
        <v>31208</v>
      </c>
      <c r="H91" s="11">
        <v>1081</v>
      </c>
      <c r="I91" s="11">
        <v>32289</v>
      </c>
      <c r="K91" s="5">
        <v>43473</v>
      </c>
      <c r="L91" s="5">
        <v>44201</v>
      </c>
      <c r="M91" s="29"/>
      <c r="N91" s="29"/>
      <c r="O91" s="11">
        <v>-3601</v>
      </c>
      <c r="P91" s="29"/>
      <c r="Q91" s="29"/>
      <c r="R91" s="12">
        <v>-0.10033435497353027</v>
      </c>
    </row>
    <row r="92" spans="1:18" x14ac:dyDescent="0.2">
      <c r="A92" s="5">
        <v>43471</v>
      </c>
      <c r="B92" s="26"/>
      <c r="C92" s="26"/>
      <c r="D92" s="11">
        <v>25848</v>
      </c>
      <c r="F92" s="5">
        <v>44202</v>
      </c>
      <c r="G92" s="11">
        <v>31682</v>
      </c>
      <c r="H92" s="11">
        <v>1168</v>
      </c>
      <c r="I92" s="11">
        <v>32850</v>
      </c>
      <c r="K92" s="5">
        <v>43474</v>
      </c>
      <c r="L92" s="5">
        <v>44202</v>
      </c>
      <c r="M92" s="29"/>
      <c r="N92" s="29"/>
      <c r="O92" s="11">
        <v>-2149</v>
      </c>
      <c r="P92" s="29"/>
      <c r="Q92" s="29"/>
      <c r="R92" s="12">
        <v>-6.1401754335838166E-2</v>
      </c>
    </row>
    <row r="93" spans="1:18" x14ac:dyDescent="0.2">
      <c r="A93" s="5">
        <v>43472</v>
      </c>
      <c r="B93" s="26"/>
      <c r="C93" s="26"/>
      <c r="D93" s="11">
        <v>35493</v>
      </c>
      <c r="F93" s="5">
        <v>44203</v>
      </c>
      <c r="G93" s="11">
        <v>33786</v>
      </c>
      <c r="H93" s="11">
        <v>1142</v>
      </c>
      <c r="I93" s="11">
        <v>34928</v>
      </c>
      <c r="K93" s="5">
        <v>43475</v>
      </c>
      <c r="L93" s="5">
        <v>44203</v>
      </c>
      <c r="M93" s="29"/>
      <c r="N93" s="29"/>
      <c r="O93" s="11">
        <v>-838</v>
      </c>
      <c r="P93" s="29"/>
      <c r="Q93" s="29"/>
      <c r="R93" s="12">
        <v>-2.3430073253928319E-2</v>
      </c>
    </row>
    <row r="94" spans="1:18" x14ac:dyDescent="0.2">
      <c r="A94" s="5">
        <v>43473</v>
      </c>
      <c r="B94" s="26"/>
      <c r="C94" s="26"/>
      <c r="D94" s="11">
        <v>35890</v>
      </c>
      <c r="F94" s="5">
        <v>44204</v>
      </c>
      <c r="G94" s="11">
        <v>34969</v>
      </c>
      <c r="H94" s="11">
        <v>1194</v>
      </c>
      <c r="I94" s="11">
        <v>36163</v>
      </c>
      <c r="K94" s="5">
        <v>43476</v>
      </c>
      <c r="L94" s="5">
        <v>44204</v>
      </c>
      <c r="M94" s="29"/>
      <c r="N94" s="29"/>
      <c r="O94" s="11">
        <v>-2354</v>
      </c>
      <c r="P94" s="29"/>
      <c r="Q94" s="29"/>
      <c r="R94" s="12">
        <v>-6.1115870914141834E-2</v>
      </c>
    </row>
    <row r="95" spans="1:18" x14ac:dyDescent="0.2">
      <c r="A95" s="5">
        <v>43474</v>
      </c>
      <c r="B95" s="26"/>
      <c r="C95" s="26"/>
      <c r="D95" s="11">
        <v>34999</v>
      </c>
      <c r="F95" s="5">
        <v>44205</v>
      </c>
      <c r="G95" s="11">
        <v>29290</v>
      </c>
      <c r="H95" s="11">
        <v>307</v>
      </c>
      <c r="I95" s="11">
        <v>29597</v>
      </c>
      <c r="K95" s="5">
        <v>43477</v>
      </c>
      <c r="L95" s="5">
        <v>44205</v>
      </c>
      <c r="M95" s="29"/>
      <c r="N95" s="29"/>
      <c r="O95" s="11">
        <v>-2961</v>
      </c>
      <c r="P95" s="29"/>
      <c r="Q95" s="29"/>
      <c r="R95" s="12">
        <v>-9.0945389765956119E-2</v>
      </c>
    </row>
    <row r="96" spans="1:18" x14ac:dyDescent="0.2">
      <c r="A96" s="5">
        <v>43475</v>
      </c>
      <c r="B96" s="26"/>
      <c r="C96" s="26"/>
      <c r="D96" s="11">
        <v>35766</v>
      </c>
      <c r="F96" s="5">
        <v>44206</v>
      </c>
      <c r="G96" s="11">
        <v>26033</v>
      </c>
      <c r="H96" s="11">
        <v>71</v>
      </c>
      <c r="I96" s="11">
        <v>26104</v>
      </c>
      <c r="K96" s="5">
        <v>43478</v>
      </c>
      <c r="L96" s="5">
        <v>44206</v>
      </c>
      <c r="M96" s="29"/>
      <c r="N96" s="29"/>
      <c r="O96" s="11">
        <v>-721</v>
      </c>
      <c r="P96" s="29"/>
      <c r="Q96" s="29"/>
      <c r="R96" s="12">
        <v>-2.6877912395153802E-2</v>
      </c>
    </row>
    <row r="97" spans="1:18" x14ac:dyDescent="0.2">
      <c r="A97" s="5">
        <v>43476</v>
      </c>
      <c r="B97" s="26"/>
      <c r="C97" s="26"/>
      <c r="D97" s="11">
        <v>38517</v>
      </c>
      <c r="F97" s="5">
        <v>44207</v>
      </c>
      <c r="G97" s="11">
        <v>34405</v>
      </c>
      <c r="H97" s="11">
        <v>1480</v>
      </c>
      <c r="I97" s="11">
        <v>35885</v>
      </c>
      <c r="K97" s="5">
        <v>43479</v>
      </c>
      <c r="L97" s="5">
        <v>44207</v>
      </c>
      <c r="M97" s="29"/>
      <c r="N97" s="29"/>
      <c r="O97" s="11">
        <v>-1181</v>
      </c>
      <c r="P97" s="29"/>
      <c r="Q97" s="29"/>
      <c r="R97" s="12">
        <v>-3.186208385042899E-2</v>
      </c>
    </row>
    <row r="98" spans="1:18" x14ac:dyDescent="0.2">
      <c r="A98" s="5">
        <v>43477</v>
      </c>
      <c r="B98" s="26"/>
      <c r="C98" s="26"/>
      <c r="D98" s="11">
        <v>32558</v>
      </c>
      <c r="F98" s="5">
        <v>44208</v>
      </c>
      <c r="G98" s="11">
        <v>31678</v>
      </c>
      <c r="H98" s="11">
        <v>1607</v>
      </c>
      <c r="I98" s="11">
        <v>33285</v>
      </c>
      <c r="K98" s="5">
        <v>43480</v>
      </c>
      <c r="L98" s="5">
        <v>44208</v>
      </c>
      <c r="M98" s="29"/>
      <c r="N98" s="29"/>
      <c r="O98" s="11">
        <v>-5231</v>
      </c>
      <c r="P98" s="29"/>
      <c r="Q98" s="29"/>
      <c r="R98" s="12">
        <v>-0.13581368781804959</v>
      </c>
    </row>
    <row r="99" spans="1:18" x14ac:dyDescent="0.2">
      <c r="A99" s="5">
        <v>43478</v>
      </c>
      <c r="B99" s="26"/>
      <c r="C99" s="26"/>
      <c r="D99" s="11">
        <v>26825</v>
      </c>
      <c r="F99" s="5">
        <v>44209</v>
      </c>
      <c r="G99" s="11">
        <v>33032</v>
      </c>
      <c r="H99" s="11">
        <v>1600</v>
      </c>
      <c r="I99" s="11">
        <v>34632</v>
      </c>
      <c r="K99" s="5">
        <v>43481</v>
      </c>
      <c r="L99" s="5">
        <v>44209</v>
      </c>
      <c r="M99" s="29"/>
      <c r="N99" s="29"/>
      <c r="O99" s="11">
        <v>-6030</v>
      </c>
      <c r="P99" s="29"/>
      <c r="Q99" s="29"/>
      <c r="R99" s="12">
        <v>-0.14829570606463038</v>
      </c>
    </row>
    <row r="100" spans="1:18" x14ac:dyDescent="0.2">
      <c r="A100" s="5">
        <v>43479</v>
      </c>
      <c r="B100" s="26"/>
      <c r="C100" s="26"/>
      <c r="D100" s="11">
        <v>37066</v>
      </c>
      <c r="F100" s="5">
        <v>44210</v>
      </c>
      <c r="G100" s="11">
        <v>34386</v>
      </c>
      <c r="H100" s="11">
        <v>1538</v>
      </c>
      <c r="I100" s="11">
        <v>35924</v>
      </c>
      <c r="K100" s="5">
        <v>43482</v>
      </c>
      <c r="L100" s="5">
        <v>44210</v>
      </c>
      <c r="M100" s="29"/>
      <c r="N100" s="29"/>
      <c r="O100" s="11">
        <v>-3201</v>
      </c>
      <c r="P100" s="29"/>
      <c r="Q100" s="29"/>
      <c r="R100" s="12">
        <v>-8.1814696485623006E-2</v>
      </c>
    </row>
    <row r="101" spans="1:18" x14ac:dyDescent="0.2">
      <c r="A101" s="5">
        <v>43480</v>
      </c>
      <c r="B101" s="26"/>
      <c r="C101" s="26"/>
      <c r="D101" s="11">
        <v>38516</v>
      </c>
      <c r="F101" s="5">
        <v>44211</v>
      </c>
      <c r="G101" s="11">
        <v>33436</v>
      </c>
      <c r="H101" s="11">
        <v>1446</v>
      </c>
      <c r="I101" s="11">
        <v>34882</v>
      </c>
      <c r="K101" s="5">
        <v>43483</v>
      </c>
      <c r="L101" s="5">
        <v>44211</v>
      </c>
      <c r="M101" s="29"/>
      <c r="N101" s="29"/>
      <c r="O101" s="11">
        <v>-5742</v>
      </c>
      <c r="P101" s="29"/>
      <c r="Q101" s="29"/>
      <c r="R101" s="12">
        <v>-0.14134501772351316</v>
      </c>
    </row>
    <row r="102" spans="1:18" x14ac:dyDescent="0.2">
      <c r="A102" s="5">
        <v>43481</v>
      </c>
      <c r="B102" s="26"/>
      <c r="C102" s="26"/>
      <c r="D102" s="11">
        <v>40662</v>
      </c>
      <c r="F102" s="5">
        <v>44212</v>
      </c>
      <c r="G102" s="11">
        <v>29347</v>
      </c>
      <c r="H102" s="11">
        <v>320</v>
      </c>
      <c r="I102" s="11">
        <v>29667</v>
      </c>
      <c r="K102" s="5">
        <v>43484</v>
      </c>
      <c r="L102" s="5">
        <v>44212</v>
      </c>
      <c r="M102" s="29"/>
      <c r="N102" s="29"/>
      <c r="O102" s="11">
        <v>-5076</v>
      </c>
      <c r="P102" s="29"/>
      <c r="Q102" s="29"/>
      <c r="R102" s="12">
        <v>-0.14610137293843362</v>
      </c>
    </row>
    <row r="103" spans="1:18" x14ac:dyDescent="0.2">
      <c r="A103" s="5">
        <v>43482</v>
      </c>
      <c r="B103" s="26"/>
      <c r="C103" s="26"/>
      <c r="D103" s="11">
        <v>39125</v>
      </c>
      <c r="F103" s="5">
        <v>44213</v>
      </c>
      <c r="G103" s="11">
        <v>20549</v>
      </c>
      <c r="H103" s="11">
        <v>60</v>
      </c>
      <c r="I103" s="11">
        <v>20609</v>
      </c>
      <c r="K103" s="5">
        <v>43485</v>
      </c>
      <c r="L103" s="5">
        <v>44213</v>
      </c>
      <c r="M103" s="29"/>
      <c r="N103" s="29"/>
      <c r="O103" s="11">
        <v>-11075</v>
      </c>
      <c r="P103" s="29"/>
      <c r="Q103" s="29"/>
      <c r="R103" s="12">
        <v>-0.3495455119303118</v>
      </c>
    </row>
    <row r="104" spans="1:18" x14ac:dyDescent="0.2">
      <c r="A104" s="5">
        <v>43483</v>
      </c>
      <c r="B104" s="26"/>
      <c r="C104" s="26"/>
      <c r="D104" s="11">
        <v>40624</v>
      </c>
      <c r="F104" s="5">
        <v>44214</v>
      </c>
      <c r="G104" s="11">
        <v>31377</v>
      </c>
      <c r="H104" s="11">
        <v>1555</v>
      </c>
      <c r="I104" s="11">
        <v>32932</v>
      </c>
      <c r="K104" s="5">
        <v>43486</v>
      </c>
      <c r="L104" s="5">
        <v>44214</v>
      </c>
      <c r="M104" s="29"/>
      <c r="N104" s="29"/>
      <c r="O104" s="11">
        <v>-6128</v>
      </c>
      <c r="P104" s="29"/>
      <c r="Q104" s="29"/>
      <c r="R104" s="12">
        <v>-0.15688684075780845</v>
      </c>
    </row>
    <row r="105" spans="1:18" x14ac:dyDescent="0.2">
      <c r="A105" s="5">
        <v>43484</v>
      </c>
      <c r="B105" s="26"/>
      <c r="C105" s="26"/>
      <c r="D105" s="11">
        <v>34743</v>
      </c>
      <c r="F105" s="5">
        <v>44215</v>
      </c>
      <c r="G105" s="11">
        <v>32532</v>
      </c>
      <c r="H105" s="11">
        <v>1739</v>
      </c>
      <c r="I105" s="11">
        <v>34271</v>
      </c>
      <c r="K105" s="5">
        <v>43487</v>
      </c>
      <c r="L105" s="5">
        <v>44215</v>
      </c>
      <c r="M105" s="29"/>
      <c r="N105" s="29"/>
      <c r="O105" s="11">
        <v>-5380</v>
      </c>
      <c r="P105" s="29"/>
      <c r="Q105" s="29"/>
      <c r="R105" s="12">
        <v>-0.13568384151723789</v>
      </c>
    </row>
    <row r="106" spans="1:18" x14ac:dyDescent="0.2">
      <c r="A106" s="5">
        <v>43485</v>
      </c>
      <c r="B106" s="26"/>
      <c r="C106" s="26"/>
      <c r="D106" s="11">
        <v>31684</v>
      </c>
      <c r="F106" s="5">
        <v>44216</v>
      </c>
      <c r="G106" s="11">
        <v>33357</v>
      </c>
      <c r="H106" s="11">
        <v>1755</v>
      </c>
      <c r="I106" s="11">
        <v>35112</v>
      </c>
      <c r="K106" s="5">
        <v>43488</v>
      </c>
      <c r="L106" s="5">
        <v>44216</v>
      </c>
      <c r="M106" s="29"/>
      <c r="N106" s="29"/>
      <c r="O106" s="11">
        <v>-4722</v>
      </c>
      <c r="P106" s="29"/>
      <c r="Q106" s="29"/>
      <c r="R106" s="12">
        <v>-0.11854194908871818</v>
      </c>
    </row>
    <row r="107" spans="1:18" x14ac:dyDescent="0.2">
      <c r="A107" s="5">
        <v>43486</v>
      </c>
      <c r="B107" s="26"/>
      <c r="C107" s="26"/>
      <c r="D107" s="11">
        <v>39060</v>
      </c>
      <c r="F107" s="5">
        <v>44217</v>
      </c>
      <c r="G107" s="11">
        <v>32125</v>
      </c>
      <c r="H107" s="11">
        <v>1671</v>
      </c>
      <c r="I107" s="11">
        <v>33796</v>
      </c>
      <c r="K107" s="5">
        <v>43489</v>
      </c>
      <c r="L107" s="5">
        <v>44217</v>
      </c>
      <c r="M107" s="29"/>
      <c r="N107" s="29"/>
      <c r="O107" s="11">
        <v>-4532</v>
      </c>
      <c r="P107" s="29"/>
      <c r="Q107" s="29"/>
      <c r="R107" s="12">
        <v>-0.11824253809225627</v>
      </c>
    </row>
    <row r="108" spans="1:18" x14ac:dyDescent="0.2">
      <c r="A108" s="5">
        <v>43487</v>
      </c>
      <c r="B108" s="26"/>
      <c r="C108" s="26"/>
      <c r="D108" s="11">
        <v>39651</v>
      </c>
      <c r="F108" s="5">
        <v>44218</v>
      </c>
      <c r="G108" s="11">
        <v>32929</v>
      </c>
      <c r="H108" s="11">
        <v>1559</v>
      </c>
      <c r="I108" s="11">
        <v>34488</v>
      </c>
      <c r="K108" s="5">
        <v>43490</v>
      </c>
      <c r="L108" s="5">
        <v>44218</v>
      </c>
      <c r="M108" s="29"/>
      <c r="N108" s="29"/>
      <c r="O108" s="11">
        <v>-7347</v>
      </c>
      <c r="P108" s="29"/>
      <c r="Q108" s="29"/>
      <c r="R108" s="12">
        <v>-0.17561850125493006</v>
      </c>
    </row>
    <row r="109" spans="1:18" x14ac:dyDescent="0.2">
      <c r="A109" s="5">
        <v>43488</v>
      </c>
      <c r="B109" s="26"/>
      <c r="C109" s="26"/>
      <c r="D109" s="11">
        <v>39834</v>
      </c>
      <c r="F109" s="5">
        <v>44219</v>
      </c>
      <c r="G109" s="11">
        <v>25374</v>
      </c>
      <c r="H109" s="11">
        <v>355</v>
      </c>
      <c r="I109" s="11">
        <v>25729</v>
      </c>
      <c r="K109" s="5">
        <v>43491</v>
      </c>
      <c r="L109" s="5">
        <v>44219</v>
      </c>
      <c r="M109" s="29"/>
      <c r="N109" s="29"/>
      <c r="O109" s="11">
        <v>-9385</v>
      </c>
      <c r="P109" s="29"/>
      <c r="Q109" s="29"/>
      <c r="R109" s="12">
        <v>-0.26727231303753485</v>
      </c>
    </row>
    <row r="110" spans="1:18" x14ac:dyDescent="0.2">
      <c r="A110" s="5">
        <v>43489</v>
      </c>
      <c r="B110" s="26"/>
      <c r="C110" s="26"/>
      <c r="D110" s="11">
        <v>38328</v>
      </c>
      <c r="F110" s="5">
        <v>44220</v>
      </c>
      <c r="G110" s="11">
        <v>27296</v>
      </c>
      <c r="H110" s="11">
        <v>73</v>
      </c>
      <c r="I110" s="11">
        <v>27369</v>
      </c>
      <c r="K110" s="5">
        <v>43492</v>
      </c>
      <c r="L110" s="5">
        <v>44220</v>
      </c>
      <c r="M110" s="29"/>
      <c r="N110" s="29"/>
      <c r="O110" s="11">
        <v>-2927</v>
      </c>
      <c r="P110" s="29"/>
      <c r="Q110" s="29"/>
      <c r="R110" s="12">
        <v>-9.6613414312120449E-2</v>
      </c>
    </row>
    <row r="111" spans="1:18" x14ac:dyDescent="0.2">
      <c r="A111" s="5">
        <v>43490</v>
      </c>
      <c r="B111" s="26"/>
      <c r="C111" s="26"/>
      <c r="D111" s="11">
        <v>41835</v>
      </c>
      <c r="F111" s="5">
        <v>44221</v>
      </c>
      <c r="G111" s="11">
        <v>28104</v>
      </c>
      <c r="H111" s="11">
        <v>1535</v>
      </c>
      <c r="I111" s="11">
        <v>29639</v>
      </c>
      <c r="K111" s="5">
        <v>43493</v>
      </c>
      <c r="L111" s="5">
        <v>44221</v>
      </c>
      <c r="M111" s="29"/>
      <c r="N111" s="29"/>
      <c r="O111" s="11">
        <f t="shared" ref="O111:O113" si="12">I111-D114</f>
        <v>-6833</v>
      </c>
      <c r="P111" s="29"/>
      <c r="Q111" s="29"/>
      <c r="R111" s="12">
        <f t="shared" ref="R111:R113" si="13">I111/D114-1</f>
        <v>-0.18734919938583028</v>
      </c>
    </row>
    <row r="112" spans="1:18" x14ac:dyDescent="0.2">
      <c r="A112" s="5">
        <v>43491</v>
      </c>
      <c r="B112" s="26"/>
      <c r="C112" s="26"/>
      <c r="D112" s="11">
        <v>35114</v>
      </c>
      <c r="F112" s="5">
        <v>44222</v>
      </c>
      <c r="G112" s="11">
        <v>32738</v>
      </c>
      <c r="H112" s="11">
        <v>1665</v>
      </c>
      <c r="I112" s="11">
        <v>34403</v>
      </c>
      <c r="K112" s="5">
        <v>43494</v>
      </c>
      <c r="L112" s="5">
        <v>44222</v>
      </c>
      <c r="M112" s="29"/>
      <c r="N112" s="29"/>
      <c r="O112" s="11">
        <f t="shared" si="12"/>
        <v>-4616</v>
      </c>
      <c r="P112" s="29"/>
      <c r="Q112" s="29"/>
      <c r="R112" s="12">
        <f t="shared" si="13"/>
        <v>-0.11830134037263895</v>
      </c>
    </row>
    <row r="113" spans="1:18" x14ac:dyDescent="0.2">
      <c r="A113" s="5">
        <v>43492</v>
      </c>
      <c r="B113" s="26"/>
      <c r="C113" s="26"/>
      <c r="D113" s="11">
        <v>30296</v>
      </c>
      <c r="F113" s="5">
        <v>44223</v>
      </c>
      <c r="G113" s="11">
        <v>31260</v>
      </c>
      <c r="H113" s="11">
        <v>1687</v>
      </c>
      <c r="I113" s="11">
        <v>32947</v>
      </c>
      <c r="K113" s="5">
        <v>43495</v>
      </c>
      <c r="L113" s="5">
        <v>44223</v>
      </c>
      <c r="M113" s="29"/>
      <c r="N113" s="29"/>
      <c r="O113" s="11">
        <f t="shared" si="12"/>
        <v>-6265</v>
      </c>
      <c r="P113" s="29"/>
      <c r="Q113" s="29"/>
      <c r="R113" s="12">
        <f t="shared" si="13"/>
        <v>-0.15977251861675001</v>
      </c>
    </row>
    <row r="114" spans="1:18" x14ac:dyDescent="0.2">
      <c r="A114" s="5">
        <v>43493</v>
      </c>
      <c r="B114" s="26"/>
      <c r="C114" s="26"/>
      <c r="D114" s="11">
        <v>36472</v>
      </c>
      <c r="F114" s="5">
        <v>44224</v>
      </c>
      <c r="G114" s="11">
        <v>31720</v>
      </c>
      <c r="H114" s="11">
        <v>1637</v>
      </c>
      <c r="I114" s="11">
        <v>33357</v>
      </c>
      <c r="K114" s="5">
        <v>43496</v>
      </c>
      <c r="L114" s="5">
        <v>44224</v>
      </c>
      <c r="M114" s="29"/>
      <c r="N114" s="29"/>
      <c r="O114" s="11">
        <f t="shared" ref="O114:O117" si="14">I114-D117</f>
        <v>-4871</v>
      </c>
      <c r="P114" s="29"/>
      <c r="Q114" s="29"/>
      <c r="R114" s="12">
        <f t="shared" ref="R114:R117" si="15">I114/D117-1</f>
        <v>-0.12741969237208328</v>
      </c>
    </row>
    <row r="115" spans="1:18" x14ac:dyDescent="0.2">
      <c r="A115" s="5">
        <v>43494</v>
      </c>
      <c r="B115" s="26"/>
      <c r="C115" s="26"/>
      <c r="D115" s="11">
        <v>39019</v>
      </c>
      <c r="F115" s="5">
        <v>44225</v>
      </c>
      <c r="G115" s="11">
        <v>33767</v>
      </c>
      <c r="H115" s="11">
        <v>1513</v>
      </c>
      <c r="I115" s="11">
        <v>35280</v>
      </c>
      <c r="K115" s="5">
        <v>43497</v>
      </c>
      <c r="L115" s="5">
        <v>44225</v>
      </c>
      <c r="M115" s="11">
        <f t="shared" ref="M115:M117" si="16">G115-B118</f>
        <v>-4160</v>
      </c>
      <c r="N115" s="11">
        <f t="shared" ref="N115:N117" si="17">H115-C118</f>
        <v>-201</v>
      </c>
      <c r="O115" s="11">
        <f t="shared" si="14"/>
        <v>-4361</v>
      </c>
      <c r="P115" s="8">
        <f t="shared" ref="P115:P117" si="18">G115/B118-1</f>
        <v>-0.10968439370369398</v>
      </c>
      <c r="Q115" s="8">
        <f t="shared" ref="Q115:Q117" si="19">H115/C118-1</f>
        <v>-0.11726954492415398</v>
      </c>
      <c r="R115" s="12">
        <f t="shared" si="15"/>
        <v>-0.11001236093943134</v>
      </c>
    </row>
    <row r="116" spans="1:18" x14ac:dyDescent="0.2">
      <c r="A116" s="5">
        <v>43495</v>
      </c>
      <c r="B116" s="26"/>
      <c r="C116" s="26"/>
      <c r="D116" s="11">
        <v>39212</v>
      </c>
      <c r="F116" s="5">
        <v>44226</v>
      </c>
      <c r="G116" s="11">
        <v>24115</v>
      </c>
      <c r="H116" s="11">
        <v>291</v>
      </c>
      <c r="I116" s="11">
        <v>24406</v>
      </c>
      <c r="K116" s="5">
        <v>43498</v>
      </c>
      <c r="L116" s="5">
        <v>44226</v>
      </c>
      <c r="M116" s="11">
        <f t="shared" si="16"/>
        <v>-8678</v>
      </c>
      <c r="N116" s="11">
        <f t="shared" si="17"/>
        <v>-46</v>
      </c>
      <c r="O116" s="11">
        <f t="shared" si="14"/>
        <v>-8724</v>
      </c>
      <c r="P116" s="8">
        <f t="shared" si="18"/>
        <v>-0.26462964657091448</v>
      </c>
      <c r="Q116" s="8">
        <f t="shared" si="19"/>
        <v>-0.13649851632047483</v>
      </c>
      <c r="R116" s="12">
        <f t="shared" si="15"/>
        <v>-0.26332629037126476</v>
      </c>
    </row>
    <row r="117" spans="1:18" x14ac:dyDescent="0.2">
      <c r="A117" s="5">
        <v>43496</v>
      </c>
      <c r="B117" s="27"/>
      <c r="C117" s="27"/>
      <c r="D117" s="11">
        <v>38228</v>
      </c>
      <c r="F117" s="5">
        <v>44227</v>
      </c>
      <c r="G117" s="11">
        <v>23723</v>
      </c>
      <c r="H117" s="11">
        <v>50</v>
      </c>
      <c r="I117" s="11">
        <v>23773</v>
      </c>
      <c r="K117" s="5">
        <v>43499</v>
      </c>
      <c r="L117" s="5">
        <v>44227</v>
      </c>
      <c r="M117" s="11">
        <f t="shared" si="16"/>
        <v>-1717</v>
      </c>
      <c r="N117" s="11">
        <f t="shared" si="17"/>
        <v>-50</v>
      </c>
      <c r="O117" s="11">
        <f t="shared" si="14"/>
        <v>-1767</v>
      </c>
      <c r="P117" s="8">
        <f t="shared" si="18"/>
        <v>-6.7492138364779852E-2</v>
      </c>
      <c r="Q117" s="8">
        <f t="shared" si="19"/>
        <v>-0.5</v>
      </c>
      <c r="R117" s="12">
        <f t="shared" si="15"/>
        <v>-6.918559122944401E-2</v>
      </c>
    </row>
    <row r="118" spans="1:18" x14ac:dyDescent="0.2">
      <c r="A118" s="5">
        <v>43497</v>
      </c>
      <c r="B118" s="20">
        <v>37927</v>
      </c>
      <c r="C118" s="20">
        <v>1714</v>
      </c>
      <c r="D118" s="20">
        <v>39641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2">
      <c r="A119" s="5">
        <v>43498</v>
      </c>
      <c r="B119" s="20">
        <v>32793</v>
      </c>
      <c r="C119" s="20">
        <v>337</v>
      </c>
      <c r="D119" s="20">
        <v>33130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2">
      <c r="A120" s="5">
        <v>43499</v>
      </c>
      <c r="B120" s="20">
        <v>25440</v>
      </c>
      <c r="C120" s="20">
        <v>100</v>
      </c>
      <c r="D120" s="20">
        <v>25540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</sheetData>
  <mergeCells count="20">
    <mergeCell ref="B87:C117"/>
    <mergeCell ref="B49:C79"/>
    <mergeCell ref="B11:C41"/>
    <mergeCell ref="M11:N38"/>
    <mergeCell ref="P11:Q38"/>
    <mergeCell ref="M49:N76"/>
    <mergeCell ref="P49:Q76"/>
    <mergeCell ref="M87:N114"/>
    <mergeCell ref="P87:Q114"/>
    <mergeCell ref="K9:L10"/>
    <mergeCell ref="K47:L48"/>
    <mergeCell ref="K85:L86"/>
    <mergeCell ref="F9:F10"/>
    <mergeCell ref="F47:F48"/>
    <mergeCell ref="F85:F86"/>
    <mergeCell ref="A6:D6"/>
    <mergeCell ref="A7:C7"/>
    <mergeCell ref="A9:A10"/>
    <mergeCell ref="A47:A48"/>
    <mergeCell ref="A85:A86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R120"/>
  <sheetViews>
    <sheetView tabSelected="1" topLeftCell="A10" zoomScale="70" zoomScaleNormal="70" workbookViewId="0">
      <selection activeCell="G41" sqref="G41"/>
    </sheetView>
  </sheetViews>
  <sheetFormatPr baseColWidth="10" defaultRowHeight="12.75" x14ac:dyDescent="0.2"/>
  <cols>
    <col min="1" max="1" width="29.42578125" customWidth="1"/>
    <col min="2" max="2" width="12.85546875" bestFit="1" customWidth="1"/>
    <col min="3" max="3" width="7.42578125" bestFit="1" customWidth="1"/>
    <col min="4" max="4" width="15.85546875" bestFit="1" customWidth="1"/>
    <col min="5" max="5" width="1.140625" customWidth="1"/>
    <col min="6" max="6" width="30" customWidth="1"/>
    <col min="7" max="7" width="12.85546875" bestFit="1" customWidth="1"/>
    <col min="8" max="8" width="7.42578125" bestFit="1" customWidth="1"/>
    <col min="9" max="9" width="15.85546875" bestFit="1" customWidth="1"/>
    <col min="10" max="10" width="0.85546875" customWidth="1"/>
    <col min="11" max="11" width="29.42578125" customWidth="1"/>
    <col min="12" max="12" width="29.5703125" customWidth="1"/>
    <col min="13" max="13" width="12.85546875" bestFit="1" customWidth="1"/>
    <col min="14" max="14" width="7.42578125" bestFit="1" customWidth="1"/>
    <col min="15" max="15" width="15.85546875" bestFit="1" customWidth="1"/>
    <col min="16" max="16" width="12.85546875" bestFit="1" customWidth="1"/>
    <col min="17" max="17" width="7.140625" bestFit="1" customWidth="1"/>
    <col min="18" max="18" width="15.85546875" style="9" bestFit="1" customWidth="1"/>
  </cols>
  <sheetData>
    <row r="1" spans="1:18" ht="15.75" x14ac:dyDescent="0.25">
      <c r="A1" s="10" t="s">
        <v>55</v>
      </c>
    </row>
    <row r="2" spans="1:18" ht="15" x14ac:dyDescent="0.2">
      <c r="A2" s="18" t="s">
        <v>44</v>
      </c>
    </row>
    <row r="3" spans="1:18" ht="15" x14ac:dyDescent="0.2">
      <c r="A3" s="18" t="s">
        <v>45</v>
      </c>
    </row>
    <row r="4" spans="1:18" ht="15" x14ac:dyDescent="0.2">
      <c r="A4" s="18" t="s">
        <v>46</v>
      </c>
    </row>
    <row r="5" spans="1:18" ht="15" x14ac:dyDescent="0.2">
      <c r="A5" s="18"/>
    </row>
    <row r="6" spans="1:18" ht="15" x14ac:dyDescent="0.2">
      <c r="A6" s="21" t="s">
        <v>47</v>
      </c>
      <c r="B6" s="22"/>
      <c r="C6" s="22"/>
      <c r="D6" s="22"/>
      <c r="E6" s="19"/>
      <c r="F6" s="19"/>
      <c r="G6" s="19"/>
    </row>
    <row r="7" spans="1:18" ht="15" x14ac:dyDescent="0.2">
      <c r="A7" s="21" t="s">
        <v>48</v>
      </c>
      <c r="B7" s="22"/>
      <c r="C7" s="22"/>
    </row>
    <row r="9" spans="1:18" ht="12.95" customHeight="1" x14ac:dyDescent="0.2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5" customHeight="1" x14ac:dyDescent="0.2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">
      <c r="A11" s="5">
        <v>43466</v>
      </c>
      <c r="B11" s="11">
        <v>7356</v>
      </c>
      <c r="C11" s="11">
        <v>50</v>
      </c>
      <c r="D11" s="11">
        <v>7406</v>
      </c>
      <c r="F11" s="5">
        <v>44197</v>
      </c>
      <c r="G11" s="11">
        <v>1871</v>
      </c>
      <c r="H11" s="11">
        <v>47</v>
      </c>
      <c r="I11" s="11">
        <v>1918</v>
      </c>
      <c r="K11" s="5">
        <v>43469</v>
      </c>
      <c r="L11" s="5">
        <v>44197</v>
      </c>
      <c r="M11" s="11">
        <v>-3987</v>
      </c>
      <c r="N11" s="11">
        <v>-226</v>
      </c>
      <c r="O11" s="11">
        <v>-4213</v>
      </c>
      <c r="P11" s="8">
        <v>-0.68060771594400826</v>
      </c>
      <c r="Q11" s="8">
        <v>-0.82783882783882778</v>
      </c>
      <c r="R11" s="12">
        <v>-0.6871635948458652</v>
      </c>
    </row>
    <row r="12" spans="1:18" x14ac:dyDescent="0.2">
      <c r="A12" s="5">
        <v>43467</v>
      </c>
      <c r="B12" s="11">
        <v>8200</v>
      </c>
      <c r="C12" s="11">
        <v>161</v>
      </c>
      <c r="D12" s="11">
        <v>8361</v>
      </c>
      <c r="F12" s="5">
        <v>44198</v>
      </c>
      <c r="G12" s="11">
        <v>2819</v>
      </c>
      <c r="H12" s="11">
        <v>27</v>
      </c>
      <c r="I12" s="11">
        <v>2846</v>
      </c>
      <c r="K12" s="5">
        <v>43470</v>
      </c>
      <c r="L12" s="5">
        <v>44198</v>
      </c>
      <c r="M12" s="11">
        <v>-2934</v>
      </c>
      <c r="N12" s="11">
        <v>-89</v>
      </c>
      <c r="O12" s="11">
        <v>-3023</v>
      </c>
      <c r="P12" s="8">
        <v>-0.50999478532939335</v>
      </c>
      <c r="Q12" s="8">
        <v>-0.76724137931034486</v>
      </c>
      <c r="R12" s="12">
        <v>-0.51507922985176346</v>
      </c>
    </row>
    <row r="13" spans="1:18" x14ac:dyDescent="0.2">
      <c r="A13" s="5">
        <v>43468</v>
      </c>
      <c r="B13" s="11">
        <v>5875</v>
      </c>
      <c r="C13" s="11">
        <v>269</v>
      </c>
      <c r="D13" s="11">
        <v>6144</v>
      </c>
      <c r="F13" s="5">
        <v>44199</v>
      </c>
      <c r="G13" s="11">
        <v>2963</v>
      </c>
      <c r="H13" s="11">
        <v>33</v>
      </c>
      <c r="I13" s="11">
        <v>2996</v>
      </c>
      <c r="K13" s="5">
        <v>43471</v>
      </c>
      <c r="L13" s="5">
        <v>44199</v>
      </c>
      <c r="M13" s="11">
        <v>-2254</v>
      </c>
      <c r="N13" s="11">
        <v>-10</v>
      </c>
      <c r="O13" s="11">
        <v>-2264</v>
      </c>
      <c r="P13" s="8">
        <v>-0.43204907034694273</v>
      </c>
      <c r="Q13" s="8">
        <v>-0.23255813953488369</v>
      </c>
      <c r="R13" s="12">
        <v>-0.43041825095057029</v>
      </c>
    </row>
    <row r="14" spans="1:18" x14ac:dyDescent="0.2">
      <c r="A14" s="5">
        <v>43469</v>
      </c>
      <c r="B14" s="11">
        <v>5858</v>
      </c>
      <c r="C14" s="11">
        <v>273</v>
      </c>
      <c r="D14" s="11">
        <v>6131</v>
      </c>
      <c r="F14" s="5">
        <v>44200</v>
      </c>
      <c r="G14" s="11">
        <v>3144</v>
      </c>
      <c r="H14" s="11">
        <v>173</v>
      </c>
      <c r="I14" s="11">
        <v>3317</v>
      </c>
      <c r="K14" s="5">
        <v>43472</v>
      </c>
      <c r="L14" s="5">
        <v>44200</v>
      </c>
      <c r="M14" s="11">
        <v>460</v>
      </c>
      <c r="N14" s="11">
        <v>-209</v>
      </c>
      <c r="O14" s="11">
        <v>251</v>
      </c>
      <c r="P14" s="8">
        <v>0.17138599105812213</v>
      </c>
      <c r="Q14" s="8">
        <v>-0.54712041884816753</v>
      </c>
      <c r="R14" s="12">
        <v>8.186562296151334E-2</v>
      </c>
    </row>
    <row r="15" spans="1:18" x14ac:dyDescent="0.2">
      <c r="A15" s="5">
        <v>43470</v>
      </c>
      <c r="B15" s="11">
        <v>5753</v>
      </c>
      <c r="C15" s="11">
        <v>116</v>
      </c>
      <c r="D15" s="11">
        <v>5869</v>
      </c>
      <c r="F15" s="5">
        <v>44201</v>
      </c>
      <c r="G15" s="11">
        <v>3058</v>
      </c>
      <c r="H15" s="11">
        <v>239</v>
      </c>
      <c r="I15" s="11">
        <v>3297</v>
      </c>
      <c r="K15" s="5">
        <v>43473</v>
      </c>
      <c r="L15" s="5">
        <v>44201</v>
      </c>
      <c r="M15" s="11">
        <v>969</v>
      </c>
      <c r="N15" s="11">
        <v>-214</v>
      </c>
      <c r="O15" s="11">
        <v>755</v>
      </c>
      <c r="P15" s="8">
        <v>0.46385830540928663</v>
      </c>
      <c r="Q15" s="8">
        <v>-0.47240618101545251</v>
      </c>
      <c r="R15" s="12">
        <v>0.2970102281667979</v>
      </c>
    </row>
    <row r="16" spans="1:18" x14ac:dyDescent="0.2">
      <c r="A16" s="5">
        <v>43471</v>
      </c>
      <c r="B16" s="11">
        <v>5217</v>
      </c>
      <c r="C16" s="11">
        <v>43</v>
      </c>
      <c r="D16" s="11">
        <v>5260</v>
      </c>
      <c r="F16" s="5">
        <v>44202</v>
      </c>
      <c r="G16" s="11">
        <v>2794</v>
      </c>
      <c r="H16" s="11">
        <v>73</v>
      </c>
      <c r="I16" s="11">
        <v>2867</v>
      </c>
      <c r="K16" s="5">
        <v>43474</v>
      </c>
      <c r="L16" s="5">
        <v>44202</v>
      </c>
      <c r="M16" s="11">
        <v>994</v>
      </c>
      <c r="N16" s="11">
        <v>8</v>
      </c>
      <c r="O16" s="11">
        <v>1002</v>
      </c>
      <c r="P16" s="8">
        <v>0.55222222222222217</v>
      </c>
      <c r="Q16" s="8">
        <v>0.12307692307692308</v>
      </c>
      <c r="R16" s="12">
        <v>0.53726541554959795</v>
      </c>
    </row>
    <row r="17" spans="1:18" x14ac:dyDescent="0.2">
      <c r="A17" s="5">
        <v>43472</v>
      </c>
      <c r="B17" s="11">
        <v>2684</v>
      </c>
      <c r="C17" s="11">
        <v>382</v>
      </c>
      <c r="D17" s="11">
        <v>3066</v>
      </c>
      <c r="F17" s="5">
        <v>44203</v>
      </c>
      <c r="G17" s="11">
        <v>2524</v>
      </c>
      <c r="H17" s="11">
        <v>302</v>
      </c>
      <c r="I17" s="11">
        <v>2826</v>
      </c>
      <c r="K17" s="5">
        <v>43475</v>
      </c>
      <c r="L17" s="5">
        <v>44203</v>
      </c>
      <c r="M17" s="11">
        <v>455</v>
      </c>
      <c r="N17" s="11">
        <v>-214</v>
      </c>
      <c r="O17" s="11">
        <v>241</v>
      </c>
      <c r="P17" s="8">
        <v>0.21991300144997594</v>
      </c>
      <c r="Q17" s="8">
        <v>-0.4147286821705426</v>
      </c>
      <c r="R17" s="12">
        <v>9.3230174081238015E-2</v>
      </c>
    </row>
    <row r="18" spans="1:18" x14ac:dyDescent="0.2">
      <c r="A18" s="5">
        <v>43473</v>
      </c>
      <c r="B18" s="11">
        <v>2089</v>
      </c>
      <c r="C18" s="11">
        <v>453</v>
      </c>
      <c r="D18" s="11">
        <v>2542</v>
      </c>
      <c r="F18" s="5">
        <v>44204</v>
      </c>
      <c r="G18" s="11">
        <v>3118</v>
      </c>
      <c r="H18" s="11">
        <v>283</v>
      </c>
      <c r="I18" s="11">
        <v>3401</v>
      </c>
      <c r="K18" s="5">
        <v>43476</v>
      </c>
      <c r="L18" s="5">
        <v>44204</v>
      </c>
      <c r="M18" s="11">
        <v>-200</v>
      </c>
      <c r="N18" s="11">
        <v>-121</v>
      </c>
      <c r="O18" s="11">
        <v>-321</v>
      </c>
      <c r="P18" s="8">
        <v>-6.0277275467148894E-2</v>
      </c>
      <c r="Q18" s="8">
        <v>-0.29950495049504955</v>
      </c>
      <c r="R18" s="12">
        <v>-8.6243954862976868E-2</v>
      </c>
    </row>
    <row r="19" spans="1:18" x14ac:dyDescent="0.2">
      <c r="A19" s="5">
        <v>43474</v>
      </c>
      <c r="B19" s="11">
        <v>1800</v>
      </c>
      <c r="C19" s="11">
        <v>65</v>
      </c>
      <c r="D19" s="11">
        <v>1865</v>
      </c>
      <c r="F19" s="5">
        <v>44205</v>
      </c>
      <c r="G19" s="11">
        <v>3161</v>
      </c>
      <c r="H19" s="11">
        <v>102</v>
      </c>
      <c r="I19" s="11">
        <v>3263</v>
      </c>
      <c r="K19" s="5">
        <v>43477</v>
      </c>
      <c r="L19" s="5">
        <v>44205</v>
      </c>
      <c r="M19" s="11">
        <v>-715</v>
      </c>
      <c r="N19" s="11">
        <v>-56</v>
      </c>
      <c r="O19" s="11">
        <v>-771</v>
      </c>
      <c r="P19" s="8">
        <v>-0.18446852425180593</v>
      </c>
      <c r="Q19" s="8">
        <v>-0.35443037974683544</v>
      </c>
      <c r="R19" s="12">
        <v>-0.19112543381259295</v>
      </c>
    </row>
    <row r="20" spans="1:18" x14ac:dyDescent="0.2">
      <c r="A20" s="5">
        <v>43475</v>
      </c>
      <c r="B20" s="11">
        <v>2069</v>
      </c>
      <c r="C20" s="11">
        <v>516</v>
      </c>
      <c r="D20" s="11">
        <v>2585</v>
      </c>
      <c r="F20" s="5">
        <v>44206</v>
      </c>
      <c r="G20" s="11">
        <v>3802</v>
      </c>
      <c r="H20" s="11">
        <v>14</v>
      </c>
      <c r="I20" s="11">
        <v>3816</v>
      </c>
      <c r="K20" s="5">
        <v>43478</v>
      </c>
      <c r="L20" s="5">
        <v>44206</v>
      </c>
      <c r="M20" s="11">
        <v>305</v>
      </c>
      <c r="N20" s="11">
        <v>-44</v>
      </c>
      <c r="O20" s="11">
        <v>261</v>
      </c>
      <c r="P20" s="8">
        <v>8.7217615098655887E-2</v>
      </c>
      <c r="Q20" s="8">
        <v>-0.75862068965517238</v>
      </c>
      <c r="R20" s="12">
        <v>7.3417721518987289E-2</v>
      </c>
    </row>
    <row r="21" spans="1:18" ht="12.6" customHeight="1" x14ac:dyDescent="0.2">
      <c r="A21" s="5">
        <v>43476</v>
      </c>
      <c r="B21" s="11">
        <v>3318</v>
      </c>
      <c r="C21" s="11">
        <v>404</v>
      </c>
      <c r="D21" s="11">
        <v>3722</v>
      </c>
      <c r="F21" s="5">
        <v>44207</v>
      </c>
      <c r="G21" s="31"/>
      <c r="H21" s="31"/>
      <c r="I21" s="11">
        <v>2558</v>
      </c>
      <c r="K21" s="5">
        <v>43479</v>
      </c>
      <c r="L21" s="5">
        <v>44207</v>
      </c>
      <c r="M21" s="30" t="s">
        <v>63</v>
      </c>
      <c r="N21" s="30"/>
      <c r="O21" s="11">
        <v>500</v>
      </c>
      <c r="P21" s="30" t="s">
        <v>63</v>
      </c>
      <c r="Q21" s="30"/>
      <c r="R21" s="12">
        <v>0.24295432458697763</v>
      </c>
    </row>
    <row r="22" spans="1:18" x14ac:dyDescent="0.2">
      <c r="A22" s="5">
        <v>43477</v>
      </c>
      <c r="B22" s="11">
        <v>3876</v>
      </c>
      <c r="C22" s="11">
        <v>158</v>
      </c>
      <c r="D22" s="11">
        <v>4034</v>
      </c>
      <c r="F22" s="5">
        <v>44208</v>
      </c>
      <c r="G22" s="31"/>
      <c r="H22" s="31"/>
      <c r="I22" s="11">
        <v>2646</v>
      </c>
      <c r="K22" s="5">
        <v>43480</v>
      </c>
      <c r="L22" s="5">
        <v>44208</v>
      </c>
      <c r="M22" s="30"/>
      <c r="N22" s="30"/>
      <c r="O22" s="11">
        <v>-218</v>
      </c>
      <c r="P22" s="30"/>
      <c r="Q22" s="30"/>
      <c r="R22" s="12">
        <v>-7.61173184357542E-2</v>
      </c>
    </row>
    <row r="23" spans="1:18" x14ac:dyDescent="0.2">
      <c r="A23" s="5">
        <v>43478</v>
      </c>
      <c r="B23" s="11">
        <v>3497</v>
      </c>
      <c r="C23" s="11">
        <v>58</v>
      </c>
      <c r="D23" s="11">
        <v>3555</v>
      </c>
      <c r="F23" s="5">
        <v>44209</v>
      </c>
      <c r="G23" s="31"/>
      <c r="H23" s="31"/>
      <c r="I23" s="11">
        <v>2051</v>
      </c>
      <c r="K23" s="5">
        <v>43481</v>
      </c>
      <c r="L23" s="5">
        <v>44209</v>
      </c>
      <c r="M23" s="30"/>
      <c r="N23" s="30"/>
      <c r="O23" s="11">
        <v>-1374</v>
      </c>
      <c r="P23" s="30"/>
      <c r="Q23" s="30"/>
      <c r="R23" s="12">
        <v>-0.40116788321167884</v>
      </c>
    </row>
    <row r="24" spans="1:18" x14ac:dyDescent="0.2">
      <c r="A24" s="5">
        <v>43479</v>
      </c>
      <c r="B24" s="11">
        <v>1980</v>
      </c>
      <c r="C24" s="11">
        <v>78</v>
      </c>
      <c r="D24" s="11">
        <v>2058</v>
      </c>
      <c r="F24" s="5">
        <v>44210</v>
      </c>
      <c r="G24" s="31"/>
      <c r="H24" s="31"/>
      <c r="I24" s="11">
        <v>1211</v>
      </c>
      <c r="K24" s="5">
        <v>43482</v>
      </c>
      <c r="L24" s="5">
        <v>44210</v>
      </c>
      <c r="M24" s="30"/>
      <c r="N24" s="30"/>
      <c r="O24" s="11">
        <v>-1643</v>
      </c>
      <c r="P24" s="30"/>
      <c r="Q24" s="30"/>
      <c r="R24" s="12">
        <v>-0.57568325157673439</v>
      </c>
    </row>
    <row r="25" spans="1:18" x14ac:dyDescent="0.2">
      <c r="A25" s="5">
        <v>43480</v>
      </c>
      <c r="B25" s="11">
        <v>2275</v>
      </c>
      <c r="C25" s="11">
        <v>589</v>
      </c>
      <c r="D25" s="11">
        <v>2864</v>
      </c>
      <c r="F25" s="5">
        <v>44211</v>
      </c>
      <c r="G25" s="31"/>
      <c r="H25" s="31"/>
      <c r="I25" s="11">
        <v>2631</v>
      </c>
      <c r="K25" s="5">
        <v>43483</v>
      </c>
      <c r="L25" s="5">
        <v>44211</v>
      </c>
      <c r="M25" s="30"/>
      <c r="N25" s="30"/>
      <c r="O25" s="11">
        <v>-1715</v>
      </c>
      <c r="P25" s="30"/>
      <c r="Q25" s="30"/>
      <c r="R25" s="12">
        <v>-0.39461573861021626</v>
      </c>
    </row>
    <row r="26" spans="1:18" x14ac:dyDescent="0.2">
      <c r="A26" s="5">
        <v>43481</v>
      </c>
      <c r="B26" s="11">
        <v>2865</v>
      </c>
      <c r="C26" s="11">
        <v>560</v>
      </c>
      <c r="D26" s="11">
        <v>3425</v>
      </c>
      <c r="F26" s="5">
        <v>44212</v>
      </c>
      <c r="G26" s="31"/>
      <c r="H26" s="31"/>
      <c r="I26" s="11">
        <v>3211</v>
      </c>
      <c r="K26" s="5">
        <v>43484</v>
      </c>
      <c r="L26" s="5">
        <v>44212</v>
      </c>
      <c r="M26" s="30"/>
      <c r="N26" s="30"/>
      <c r="O26" s="11">
        <v>-1346</v>
      </c>
      <c r="P26" s="30"/>
      <c r="Q26" s="30"/>
      <c r="R26" s="12">
        <v>-0.29536976080754884</v>
      </c>
    </row>
    <row r="27" spans="1:18" x14ac:dyDescent="0.2">
      <c r="A27" s="5">
        <v>43482</v>
      </c>
      <c r="B27" s="11">
        <v>2277</v>
      </c>
      <c r="C27" s="11">
        <v>577</v>
      </c>
      <c r="D27" s="11">
        <v>2854</v>
      </c>
      <c r="F27" s="5">
        <v>44213</v>
      </c>
      <c r="G27" s="31"/>
      <c r="H27" s="31"/>
      <c r="I27" s="11">
        <v>2346</v>
      </c>
      <c r="K27" s="5">
        <v>43485</v>
      </c>
      <c r="L27" s="5">
        <v>44213</v>
      </c>
      <c r="M27" s="30"/>
      <c r="N27" s="30"/>
      <c r="O27" s="11">
        <v>-3185</v>
      </c>
      <c r="P27" s="30"/>
      <c r="Q27" s="30"/>
      <c r="R27" s="12">
        <v>-0.57584523594286741</v>
      </c>
    </row>
    <row r="28" spans="1:18" x14ac:dyDescent="0.2">
      <c r="A28" s="5">
        <v>43483</v>
      </c>
      <c r="B28" s="11">
        <v>3883</v>
      </c>
      <c r="C28" s="11">
        <v>463</v>
      </c>
      <c r="D28" s="11">
        <v>4346</v>
      </c>
      <c r="F28" s="5">
        <v>44214</v>
      </c>
      <c r="G28" s="31"/>
      <c r="H28" s="31"/>
      <c r="I28" s="11">
        <v>2280</v>
      </c>
      <c r="K28" s="5">
        <v>43486</v>
      </c>
      <c r="L28" s="5">
        <v>44214</v>
      </c>
      <c r="M28" s="30"/>
      <c r="N28" s="30"/>
      <c r="O28" s="11">
        <v>-885</v>
      </c>
      <c r="P28" s="30"/>
      <c r="Q28" s="30"/>
      <c r="R28" s="12">
        <v>-0.27962085308056872</v>
      </c>
    </row>
    <row r="29" spans="1:18" x14ac:dyDescent="0.2">
      <c r="A29" s="5">
        <v>43484</v>
      </c>
      <c r="B29" s="11">
        <v>4382</v>
      </c>
      <c r="C29" s="11">
        <v>175</v>
      </c>
      <c r="D29" s="11">
        <v>4557</v>
      </c>
      <c r="F29" s="5">
        <v>44215</v>
      </c>
      <c r="G29" s="31"/>
      <c r="H29" s="31"/>
      <c r="I29" s="11">
        <v>2378</v>
      </c>
      <c r="K29" s="5">
        <v>43487</v>
      </c>
      <c r="L29" s="5">
        <v>44215</v>
      </c>
      <c r="M29" s="30"/>
      <c r="N29" s="30"/>
      <c r="O29" s="11">
        <v>-922</v>
      </c>
      <c r="P29" s="30"/>
      <c r="Q29" s="30"/>
      <c r="R29" s="12">
        <v>-0.27939393939393942</v>
      </c>
    </row>
    <row r="30" spans="1:18" x14ac:dyDescent="0.2">
      <c r="A30" s="5">
        <v>43485</v>
      </c>
      <c r="B30" s="11">
        <v>5489</v>
      </c>
      <c r="C30" s="11">
        <v>42</v>
      </c>
      <c r="D30" s="11">
        <v>5531</v>
      </c>
      <c r="F30" s="5">
        <v>44216</v>
      </c>
      <c r="G30" s="31"/>
      <c r="H30" s="31"/>
      <c r="I30" s="11">
        <v>2219</v>
      </c>
      <c r="K30" s="5">
        <v>43488</v>
      </c>
      <c r="L30" s="5">
        <v>44216</v>
      </c>
      <c r="M30" s="30"/>
      <c r="N30" s="30"/>
      <c r="O30" s="11">
        <v>-764</v>
      </c>
      <c r="P30" s="30"/>
      <c r="Q30" s="30"/>
      <c r="R30" s="12">
        <v>-0.25611800201139789</v>
      </c>
    </row>
    <row r="31" spans="1:18" x14ac:dyDescent="0.2">
      <c r="A31" s="5">
        <v>43486</v>
      </c>
      <c r="B31" s="11">
        <v>2671</v>
      </c>
      <c r="C31" s="11">
        <v>494</v>
      </c>
      <c r="D31" s="11">
        <v>3165</v>
      </c>
      <c r="F31" s="5">
        <v>44217</v>
      </c>
      <c r="G31" s="31"/>
      <c r="H31" s="31"/>
      <c r="I31" s="11">
        <v>2304</v>
      </c>
      <c r="K31" s="5">
        <v>43489</v>
      </c>
      <c r="L31" s="5">
        <v>44217</v>
      </c>
      <c r="M31" s="30"/>
      <c r="N31" s="30"/>
      <c r="O31" s="11">
        <v>-946</v>
      </c>
      <c r="P31" s="30"/>
      <c r="Q31" s="30"/>
      <c r="R31" s="12">
        <v>-0.29107692307692312</v>
      </c>
    </row>
    <row r="32" spans="1:18" x14ac:dyDescent="0.2">
      <c r="A32" s="5">
        <v>43487</v>
      </c>
      <c r="B32" s="11">
        <v>2674</v>
      </c>
      <c r="C32" s="11">
        <v>626</v>
      </c>
      <c r="D32" s="11">
        <v>3300</v>
      </c>
      <c r="F32" s="5">
        <v>44218</v>
      </c>
      <c r="G32" s="31"/>
      <c r="H32" s="31"/>
      <c r="I32" s="11">
        <v>2742</v>
      </c>
      <c r="K32" s="5">
        <v>43490</v>
      </c>
      <c r="L32" s="5">
        <v>44218</v>
      </c>
      <c r="M32" s="30"/>
      <c r="N32" s="30"/>
      <c r="O32" s="11">
        <v>-1812</v>
      </c>
      <c r="P32" s="30"/>
      <c r="Q32" s="30"/>
      <c r="R32" s="12">
        <v>-0.39789196310935437</v>
      </c>
    </row>
    <row r="33" spans="1:18" x14ac:dyDescent="0.2">
      <c r="A33" s="5">
        <v>43488</v>
      </c>
      <c r="B33" s="11">
        <v>2416</v>
      </c>
      <c r="C33" s="11">
        <v>567</v>
      </c>
      <c r="D33" s="11">
        <v>2983</v>
      </c>
      <c r="F33" s="5">
        <v>44219</v>
      </c>
      <c r="G33" s="31"/>
      <c r="H33" s="31"/>
      <c r="I33" s="11">
        <v>2424</v>
      </c>
      <c r="K33" s="5">
        <v>43491</v>
      </c>
      <c r="L33" s="5">
        <v>44219</v>
      </c>
      <c r="M33" s="30"/>
      <c r="N33" s="30"/>
      <c r="O33" s="11">
        <v>-2045</v>
      </c>
      <c r="P33" s="30"/>
      <c r="Q33" s="30"/>
      <c r="R33" s="12">
        <v>-0.45759677780264041</v>
      </c>
    </row>
    <row r="34" spans="1:18" x14ac:dyDescent="0.2">
      <c r="A34" s="5">
        <v>43489</v>
      </c>
      <c r="B34" s="11">
        <v>2679</v>
      </c>
      <c r="C34" s="11">
        <v>571</v>
      </c>
      <c r="D34" s="11">
        <v>3250</v>
      </c>
      <c r="F34" s="5">
        <v>44220</v>
      </c>
      <c r="G34" s="31"/>
      <c r="H34" s="31"/>
      <c r="I34" s="11">
        <v>3615</v>
      </c>
      <c r="K34" s="5">
        <v>43492</v>
      </c>
      <c r="L34" s="5">
        <v>44220</v>
      </c>
      <c r="M34" s="30"/>
      <c r="N34" s="30"/>
      <c r="O34" s="11">
        <v>-1065</v>
      </c>
      <c r="P34" s="30"/>
      <c r="Q34" s="30"/>
      <c r="R34" s="12">
        <v>-0.22756410256410253</v>
      </c>
    </row>
    <row r="35" spans="1:18" x14ac:dyDescent="0.2">
      <c r="A35" s="5">
        <v>43490</v>
      </c>
      <c r="B35" s="11">
        <v>4090</v>
      </c>
      <c r="C35" s="11">
        <v>464</v>
      </c>
      <c r="D35" s="11">
        <v>4554</v>
      </c>
      <c r="F35" s="5">
        <v>44221</v>
      </c>
      <c r="G35" s="31"/>
      <c r="H35" s="31"/>
      <c r="I35" s="11">
        <v>2060</v>
      </c>
      <c r="K35" s="5">
        <v>43493</v>
      </c>
      <c r="L35" s="5">
        <v>44221</v>
      </c>
      <c r="M35" s="30"/>
      <c r="N35" s="30"/>
      <c r="O35" s="11">
        <f t="shared" ref="O35:O41" si="0">I35-D38</f>
        <v>-1082</v>
      </c>
      <c r="P35" s="30"/>
      <c r="Q35" s="30"/>
      <c r="R35" s="12">
        <f t="shared" ref="R35:R41" si="1">I35/D38-1</f>
        <v>-0.34436664544875872</v>
      </c>
    </row>
    <row r="36" spans="1:18" x14ac:dyDescent="0.2">
      <c r="A36" s="5">
        <v>43491</v>
      </c>
      <c r="B36" s="11">
        <v>4280</v>
      </c>
      <c r="C36" s="11">
        <v>189</v>
      </c>
      <c r="D36" s="11">
        <v>4469</v>
      </c>
      <c r="F36" s="5">
        <v>44222</v>
      </c>
      <c r="G36" s="31"/>
      <c r="H36" s="31"/>
      <c r="I36" s="11">
        <v>2656</v>
      </c>
      <c r="K36" s="5">
        <v>43494</v>
      </c>
      <c r="L36" s="5">
        <v>44222</v>
      </c>
      <c r="M36" s="30"/>
      <c r="N36" s="30"/>
      <c r="O36" s="11">
        <f t="shared" si="0"/>
        <v>-536</v>
      </c>
      <c r="P36" s="30"/>
      <c r="Q36" s="30"/>
      <c r="R36" s="12">
        <f t="shared" si="1"/>
        <v>-0.16791979949874691</v>
      </c>
    </row>
    <row r="37" spans="1:18" x14ac:dyDescent="0.2">
      <c r="A37" s="5">
        <v>43492</v>
      </c>
      <c r="B37" s="11">
        <v>4629</v>
      </c>
      <c r="C37" s="11">
        <v>51</v>
      </c>
      <c r="D37" s="11">
        <v>4680</v>
      </c>
      <c r="F37" s="5">
        <v>44223</v>
      </c>
      <c r="G37" s="31"/>
      <c r="H37" s="31"/>
      <c r="I37" s="11">
        <v>1910</v>
      </c>
      <c r="K37" s="5">
        <v>43495</v>
      </c>
      <c r="L37" s="5">
        <v>44223</v>
      </c>
      <c r="M37" s="30"/>
      <c r="N37" s="30"/>
      <c r="O37" s="11">
        <f t="shared" si="0"/>
        <v>-964</v>
      </c>
      <c r="P37" s="30"/>
      <c r="Q37" s="30"/>
      <c r="R37" s="12">
        <f t="shared" si="1"/>
        <v>-0.33542101600556717</v>
      </c>
    </row>
    <row r="38" spans="1:18" x14ac:dyDescent="0.2">
      <c r="A38" s="5">
        <v>43493</v>
      </c>
      <c r="B38" s="11">
        <v>2603</v>
      </c>
      <c r="C38" s="11">
        <v>539</v>
      </c>
      <c r="D38" s="11">
        <v>3142</v>
      </c>
      <c r="F38" s="5">
        <v>44224</v>
      </c>
      <c r="G38" s="31"/>
      <c r="H38" s="31"/>
      <c r="I38" s="11">
        <v>2291</v>
      </c>
      <c r="K38" s="5">
        <v>43496</v>
      </c>
      <c r="L38" s="5">
        <v>44224</v>
      </c>
      <c r="M38" s="30"/>
      <c r="N38" s="30"/>
      <c r="O38" s="11">
        <f t="shared" si="0"/>
        <v>-1206</v>
      </c>
      <c r="P38" s="30"/>
      <c r="Q38" s="30"/>
      <c r="R38" s="12">
        <f t="shared" si="1"/>
        <v>-0.3448670288818988</v>
      </c>
    </row>
    <row r="39" spans="1:18" x14ac:dyDescent="0.2">
      <c r="A39" s="5">
        <v>43494</v>
      </c>
      <c r="B39" s="11">
        <v>2630</v>
      </c>
      <c r="C39" s="11">
        <v>562</v>
      </c>
      <c r="D39" s="11">
        <v>3192</v>
      </c>
      <c r="F39" s="5">
        <v>44225</v>
      </c>
      <c r="G39" s="31"/>
      <c r="H39" s="31"/>
      <c r="I39" s="11">
        <v>2525</v>
      </c>
      <c r="K39" s="5">
        <v>43497</v>
      </c>
      <c r="L39" s="5">
        <v>44225</v>
      </c>
      <c r="M39" s="30"/>
      <c r="N39" s="30"/>
      <c r="O39" s="11">
        <f t="shared" si="0"/>
        <v>-445</v>
      </c>
      <c r="P39" s="30"/>
      <c r="Q39" s="30"/>
      <c r="R39" s="12">
        <f t="shared" si="1"/>
        <v>-0.14983164983164987</v>
      </c>
    </row>
    <row r="40" spans="1:18" x14ac:dyDescent="0.2">
      <c r="A40" s="5">
        <v>43495</v>
      </c>
      <c r="B40" s="11">
        <v>2278</v>
      </c>
      <c r="C40" s="11">
        <v>596</v>
      </c>
      <c r="D40" s="11">
        <v>2874</v>
      </c>
      <c r="F40" s="5">
        <v>44226</v>
      </c>
      <c r="G40" s="31"/>
      <c r="H40" s="31"/>
      <c r="I40" s="11">
        <v>2866</v>
      </c>
      <c r="K40" s="5">
        <v>43498</v>
      </c>
      <c r="L40" s="5">
        <v>44226</v>
      </c>
      <c r="M40" s="30"/>
      <c r="N40" s="30"/>
      <c r="O40" s="11">
        <f t="shared" si="0"/>
        <v>-691</v>
      </c>
      <c r="P40" s="30"/>
      <c r="Q40" s="30"/>
      <c r="R40" s="12">
        <f t="shared" si="1"/>
        <v>-0.19426482991284788</v>
      </c>
    </row>
    <row r="41" spans="1:18" x14ac:dyDescent="0.2">
      <c r="A41" s="5">
        <v>43496</v>
      </c>
      <c r="B41" s="11">
        <v>2942</v>
      </c>
      <c r="C41" s="11">
        <v>555</v>
      </c>
      <c r="D41" s="11">
        <v>3497</v>
      </c>
      <c r="F41" s="5">
        <v>44227</v>
      </c>
      <c r="G41" s="31"/>
      <c r="H41" s="31"/>
      <c r="I41" s="11">
        <v>3781</v>
      </c>
      <c r="K41" s="5">
        <v>43499</v>
      </c>
      <c r="L41" s="5">
        <v>44227</v>
      </c>
      <c r="M41" s="30"/>
      <c r="N41" s="30"/>
      <c r="O41" s="11">
        <f t="shared" si="0"/>
        <v>-205</v>
      </c>
      <c r="P41" s="30"/>
      <c r="Q41" s="30"/>
      <c r="R41" s="12">
        <f t="shared" si="1"/>
        <v>-5.1430005017561453E-2</v>
      </c>
    </row>
    <row r="42" spans="1:18" x14ac:dyDescent="0.2">
      <c r="A42" s="5">
        <v>43497</v>
      </c>
      <c r="B42" s="11">
        <v>2874</v>
      </c>
      <c r="C42" s="11">
        <v>96</v>
      </c>
      <c r="D42" s="11">
        <v>2970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">
      <c r="A43" s="5">
        <v>43498</v>
      </c>
      <c r="B43" s="11">
        <v>3384</v>
      </c>
      <c r="C43" s="11">
        <v>173</v>
      </c>
      <c r="D43" s="11">
        <v>3557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">
      <c r="A44" s="5">
        <v>43499</v>
      </c>
      <c r="B44" s="11">
        <v>3927</v>
      </c>
      <c r="C44" s="11">
        <v>59</v>
      </c>
      <c r="D44" s="11">
        <v>3986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">
      <c r="A45" s="5"/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3" t="s">
        <v>8</v>
      </c>
      <c r="B47" s="6"/>
      <c r="C47" s="6"/>
      <c r="D47" s="3"/>
      <c r="F47" s="23" t="s">
        <v>8</v>
      </c>
      <c r="G47" s="6"/>
      <c r="H47" s="6"/>
      <c r="I47" s="3"/>
      <c r="K47" s="23" t="s">
        <v>9</v>
      </c>
      <c r="L47" s="23"/>
      <c r="M47" s="6"/>
      <c r="N47" s="6"/>
      <c r="O47" s="3"/>
      <c r="P47" s="6"/>
      <c r="Q47" s="6"/>
      <c r="R47" s="3"/>
    </row>
    <row r="48" spans="1:18" ht="26.45" customHeight="1" x14ac:dyDescent="0.2">
      <c r="A48" s="24"/>
      <c r="B48" s="7" t="s">
        <v>38</v>
      </c>
      <c r="C48" s="4" t="s">
        <v>2</v>
      </c>
      <c r="D48" s="4" t="s">
        <v>0</v>
      </c>
      <c r="F48" s="24"/>
      <c r="G48" s="7" t="s">
        <v>38</v>
      </c>
      <c r="H48" s="4" t="s">
        <v>2</v>
      </c>
      <c r="I48" s="4" t="s">
        <v>0</v>
      </c>
      <c r="K48" s="24"/>
      <c r="L48" s="24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2">
      <c r="A49" s="5">
        <v>43466</v>
      </c>
      <c r="B49" s="11">
        <v>3485</v>
      </c>
      <c r="C49" s="11">
        <v>21</v>
      </c>
      <c r="D49" s="11">
        <v>3506</v>
      </c>
      <c r="F49" s="5">
        <v>44197</v>
      </c>
      <c r="G49" s="11">
        <v>857</v>
      </c>
      <c r="H49" s="11">
        <v>23</v>
      </c>
      <c r="I49" s="11">
        <v>880</v>
      </c>
      <c r="K49" s="5">
        <v>43469</v>
      </c>
      <c r="L49" s="5">
        <v>44197</v>
      </c>
      <c r="M49" s="11">
        <v>-1750</v>
      </c>
      <c r="N49" s="11">
        <v>-112</v>
      </c>
      <c r="O49" s="11">
        <v>-1862</v>
      </c>
      <c r="P49" s="8">
        <v>-0.67126965861143084</v>
      </c>
      <c r="Q49" s="8">
        <v>-0.82962962962962961</v>
      </c>
      <c r="R49" s="12">
        <v>-0.67906637490882571</v>
      </c>
    </row>
    <row r="50" spans="1:18" x14ac:dyDescent="0.2">
      <c r="A50" s="5">
        <v>43467</v>
      </c>
      <c r="B50" s="11">
        <v>2987</v>
      </c>
      <c r="C50" s="11">
        <v>64</v>
      </c>
      <c r="D50" s="11">
        <v>3051</v>
      </c>
      <c r="F50" s="5">
        <v>44198</v>
      </c>
      <c r="G50" s="11">
        <v>1263</v>
      </c>
      <c r="H50" s="11">
        <v>11</v>
      </c>
      <c r="I50" s="11">
        <v>1274</v>
      </c>
      <c r="K50" s="5">
        <v>43470</v>
      </c>
      <c r="L50" s="5">
        <v>44198</v>
      </c>
      <c r="M50" s="11">
        <v>-1221</v>
      </c>
      <c r="N50" s="11">
        <v>-29</v>
      </c>
      <c r="O50" s="11">
        <v>-1250</v>
      </c>
      <c r="P50" s="8">
        <v>-0.49154589371980673</v>
      </c>
      <c r="Q50" s="8">
        <v>-0.72499999999999998</v>
      </c>
      <c r="R50" s="12">
        <v>-0.49524564183835185</v>
      </c>
    </row>
    <row r="51" spans="1:18" x14ac:dyDescent="0.2">
      <c r="A51" s="5">
        <v>43468</v>
      </c>
      <c r="B51" s="11">
        <v>2622</v>
      </c>
      <c r="C51" s="11">
        <v>136</v>
      </c>
      <c r="D51" s="11">
        <v>2758</v>
      </c>
      <c r="F51" s="5">
        <v>44199</v>
      </c>
      <c r="G51" s="11">
        <v>1517</v>
      </c>
      <c r="H51" s="11">
        <v>19</v>
      </c>
      <c r="I51" s="11">
        <v>1536</v>
      </c>
      <c r="K51" s="5">
        <v>43471</v>
      </c>
      <c r="L51" s="5">
        <v>44199</v>
      </c>
      <c r="M51" s="11">
        <v>-836</v>
      </c>
      <c r="N51" s="11">
        <v>-1</v>
      </c>
      <c r="O51" s="11">
        <v>-837</v>
      </c>
      <c r="P51" s="8">
        <v>-0.3552911177220569</v>
      </c>
      <c r="Q51" s="8">
        <v>-5.0000000000000044E-2</v>
      </c>
      <c r="R51" s="12">
        <v>-0.35271807838179514</v>
      </c>
    </row>
    <row r="52" spans="1:18" x14ac:dyDescent="0.2">
      <c r="A52" s="5">
        <v>43469</v>
      </c>
      <c r="B52" s="11">
        <v>2607</v>
      </c>
      <c r="C52" s="11">
        <v>135</v>
      </c>
      <c r="D52" s="11">
        <v>2742</v>
      </c>
      <c r="F52" s="5">
        <v>44200</v>
      </c>
      <c r="G52" s="11">
        <v>1507</v>
      </c>
      <c r="H52" s="11">
        <v>97</v>
      </c>
      <c r="I52" s="11">
        <v>1604</v>
      </c>
      <c r="K52" s="5">
        <v>43472</v>
      </c>
      <c r="L52" s="5">
        <v>44200</v>
      </c>
      <c r="M52" s="11">
        <v>302</v>
      </c>
      <c r="N52" s="11">
        <v>-114</v>
      </c>
      <c r="O52" s="11">
        <v>188</v>
      </c>
      <c r="P52" s="8">
        <v>0.25062240663900415</v>
      </c>
      <c r="Q52" s="8">
        <v>-0.54028436018957349</v>
      </c>
      <c r="R52" s="12">
        <v>0.13276836158192085</v>
      </c>
    </row>
    <row r="53" spans="1:18" x14ac:dyDescent="0.2">
      <c r="A53" s="5">
        <v>43470</v>
      </c>
      <c r="B53" s="11">
        <v>2484</v>
      </c>
      <c r="C53" s="11">
        <v>40</v>
      </c>
      <c r="D53" s="11">
        <v>2524</v>
      </c>
      <c r="F53" s="5">
        <v>44201</v>
      </c>
      <c r="G53" s="11">
        <v>1581</v>
      </c>
      <c r="H53" s="11">
        <v>119</v>
      </c>
      <c r="I53" s="11">
        <v>1700</v>
      </c>
      <c r="K53" s="5">
        <v>43473</v>
      </c>
      <c r="L53" s="5">
        <v>44201</v>
      </c>
      <c r="M53" s="11">
        <v>647</v>
      </c>
      <c r="N53" s="11">
        <v>-100</v>
      </c>
      <c r="O53" s="11">
        <v>547</v>
      </c>
      <c r="P53" s="8">
        <v>0.69271948608137035</v>
      </c>
      <c r="Q53" s="8">
        <v>-0.45662100456621002</v>
      </c>
      <c r="R53" s="12">
        <v>0.47441457068516923</v>
      </c>
    </row>
    <row r="54" spans="1:18" x14ac:dyDescent="0.2">
      <c r="A54" s="5">
        <v>43471</v>
      </c>
      <c r="B54" s="11">
        <v>2353</v>
      </c>
      <c r="C54" s="11">
        <v>20</v>
      </c>
      <c r="D54" s="11">
        <v>2373</v>
      </c>
      <c r="F54" s="5">
        <v>44202</v>
      </c>
      <c r="G54" s="11">
        <v>1749</v>
      </c>
      <c r="H54" s="11">
        <v>41</v>
      </c>
      <c r="I54" s="11">
        <v>1790</v>
      </c>
      <c r="K54" s="5">
        <v>43474</v>
      </c>
      <c r="L54" s="5">
        <v>44202</v>
      </c>
      <c r="M54" s="11">
        <v>930</v>
      </c>
      <c r="N54" s="11">
        <v>7</v>
      </c>
      <c r="O54" s="11">
        <v>937</v>
      </c>
      <c r="P54" s="8">
        <v>1.1355311355311355</v>
      </c>
      <c r="Q54" s="8">
        <v>0.20588235294117641</v>
      </c>
      <c r="R54" s="12">
        <v>1.0984759671746778</v>
      </c>
    </row>
    <row r="55" spans="1:18" x14ac:dyDescent="0.2">
      <c r="A55" s="5">
        <v>43472</v>
      </c>
      <c r="B55" s="11">
        <v>1205</v>
      </c>
      <c r="C55" s="11">
        <v>211</v>
      </c>
      <c r="D55" s="11">
        <v>1416</v>
      </c>
      <c r="F55" s="5">
        <v>44203</v>
      </c>
      <c r="G55" s="11">
        <v>1326</v>
      </c>
      <c r="H55" s="11">
        <v>187</v>
      </c>
      <c r="I55" s="11">
        <v>1513</v>
      </c>
      <c r="K55" s="5">
        <v>43475</v>
      </c>
      <c r="L55" s="5">
        <v>44203</v>
      </c>
      <c r="M55" s="11">
        <v>352</v>
      </c>
      <c r="N55" s="11">
        <v>-94</v>
      </c>
      <c r="O55" s="11">
        <v>258</v>
      </c>
      <c r="P55" s="8">
        <v>0.3613963039014374</v>
      </c>
      <c r="Q55" s="8">
        <v>-0.33451957295373669</v>
      </c>
      <c r="R55" s="12">
        <v>0.20557768924302788</v>
      </c>
    </row>
    <row r="56" spans="1:18" x14ac:dyDescent="0.2">
      <c r="A56" s="5">
        <v>43473</v>
      </c>
      <c r="B56" s="11">
        <v>934</v>
      </c>
      <c r="C56" s="11">
        <v>219</v>
      </c>
      <c r="D56" s="11">
        <v>1153</v>
      </c>
      <c r="F56" s="5">
        <v>44204</v>
      </c>
      <c r="G56" s="11">
        <v>1587</v>
      </c>
      <c r="H56" s="11">
        <v>124</v>
      </c>
      <c r="I56" s="11">
        <v>1711</v>
      </c>
      <c r="K56" s="5">
        <v>43476</v>
      </c>
      <c r="L56" s="5">
        <v>44204</v>
      </c>
      <c r="M56" s="11">
        <v>13</v>
      </c>
      <c r="N56" s="11">
        <v>-95</v>
      </c>
      <c r="O56" s="11">
        <v>-82</v>
      </c>
      <c r="P56" s="8">
        <v>8.2592121982210109E-3</v>
      </c>
      <c r="Q56" s="8">
        <v>-0.43378995433789957</v>
      </c>
      <c r="R56" s="12">
        <v>-4.5733407696597839E-2</v>
      </c>
    </row>
    <row r="57" spans="1:18" x14ac:dyDescent="0.2">
      <c r="A57" s="5">
        <v>43474</v>
      </c>
      <c r="B57" s="11">
        <v>819</v>
      </c>
      <c r="C57" s="11">
        <v>34</v>
      </c>
      <c r="D57" s="11">
        <v>853</v>
      </c>
      <c r="F57" s="5">
        <v>44205</v>
      </c>
      <c r="G57" s="11">
        <v>1553</v>
      </c>
      <c r="H57" s="11">
        <v>51</v>
      </c>
      <c r="I57" s="11">
        <v>1604</v>
      </c>
      <c r="K57" s="5">
        <v>43477</v>
      </c>
      <c r="L57" s="5">
        <v>44205</v>
      </c>
      <c r="M57" s="11">
        <v>-290</v>
      </c>
      <c r="N57" s="11">
        <v>-19</v>
      </c>
      <c r="O57" s="11">
        <v>-309</v>
      </c>
      <c r="P57" s="8">
        <v>-0.1573521432447097</v>
      </c>
      <c r="Q57" s="8">
        <v>-0.27142857142857146</v>
      </c>
      <c r="R57" s="12">
        <v>-0.1615263983272347</v>
      </c>
    </row>
    <row r="58" spans="1:18" x14ac:dyDescent="0.2">
      <c r="A58" s="5">
        <v>43475</v>
      </c>
      <c r="B58" s="11">
        <v>974</v>
      </c>
      <c r="C58" s="11">
        <v>281</v>
      </c>
      <c r="D58" s="11">
        <v>1255</v>
      </c>
      <c r="F58" s="5">
        <v>44206</v>
      </c>
      <c r="G58" s="11">
        <v>2012</v>
      </c>
      <c r="H58" s="11">
        <v>7</v>
      </c>
      <c r="I58" s="11">
        <v>2019</v>
      </c>
      <c r="K58" s="5">
        <v>43478</v>
      </c>
      <c r="L58" s="5">
        <v>44206</v>
      </c>
      <c r="M58" s="11">
        <v>209</v>
      </c>
      <c r="N58" s="11">
        <v>-20</v>
      </c>
      <c r="O58" s="11">
        <v>189</v>
      </c>
      <c r="P58" s="8">
        <v>0.11591791458679968</v>
      </c>
      <c r="Q58" s="8">
        <v>-0.7407407407407407</v>
      </c>
      <c r="R58" s="12">
        <v>0.10327868852459021</v>
      </c>
    </row>
    <row r="59" spans="1:18" ht="12.6" customHeight="1" x14ac:dyDescent="0.2">
      <c r="A59" s="5">
        <v>43476</v>
      </c>
      <c r="B59" s="11">
        <v>1574</v>
      </c>
      <c r="C59" s="11">
        <v>219</v>
      </c>
      <c r="D59" s="11">
        <v>1793</v>
      </c>
      <c r="F59" s="5">
        <v>44207</v>
      </c>
      <c r="G59" s="30" t="s">
        <v>61</v>
      </c>
      <c r="H59" s="30"/>
      <c r="I59" s="11">
        <v>1372</v>
      </c>
      <c r="K59" s="5">
        <v>43479</v>
      </c>
      <c r="L59" s="5">
        <v>44207</v>
      </c>
      <c r="M59" s="30" t="s">
        <v>63</v>
      </c>
      <c r="N59" s="30"/>
      <c r="O59" s="11">
        <v>410</v>
      </c>
      <c r="P59" s="30" t="s">
        <v>63</v>
      </c>
      <c r="Q59" s="30"/>
      <c r="R59" s="12">
        <v>0.42619542619542616</v>
      </c>
    </row>
    <row r="60" spans="1:18" x14ac:dyDescent="0.2">
      <c r="A60" s="5">
        <v>43477</v>
      </c>
      <c r="B60" s="11">
        <v>1843</v>
      </c>
      <c r="C60" s="11">
        <v>70</v>
      </c>
      <c r="D60" s="11">
        <v>1913</v>
      </c>
      <c r="F60" s="5">
        <v>44208</v>
      </c>
      <c r="G60" s="30"/>
      <c r="H60" s="30"/>
      <c r="I60" s="11">
        <v>1411</v>
      </c>
      <c r="K60" s="5">
        <v>43480</v>
      </c>
      <c r="L60" s="5">
        <v>44208</v>
      </c>
      <c r="M60" s="30"/>
      <c r="N60" s="30"/>
      <c r="O60" s="11">
        <v>2</v>
      </c>
      <c r="P60" s="30"/>
      <c r="Q60" s="30"/>
      <c r="R60" s="12">
        <v>1.4194464158978626E-3</v>
      </c>
    </row>
    <row r="61" spans="1:18" x14ac:dyDescent="0.2">
      <c r="A61" s="5">
        <v>43478</v>
      </c>
      <c r="B61" s="11">
        <v>1803</v>
      </c>
      <c r="C61" s="11">
        <v>27</v>
      </c>
      <c r="D61" s="11">
        <v>1830</v>
      </c>
      <c r="F61" s="5">
        <v>44209</v>
      </c>
      <c r="G61" s="30"/>
      <c r="H61" s="30"/>
      <c r="I61" s="11">
        <v>981</v>
      </c>
      <c r="K61" s="5">
        <v>43481</v>
      </c>
      <c r="L61" s="5">
        <v>44209</v>
      </c>
      <c r="M61" s="30"/>
      <c r="N61" s="30"/>
      <c r="O61" s="11">
        <v>-700</v>
      </c>
      <c r="P61" s="30"/>
      <c r="Q61" s="30"/>
      <c r="R61" s="12">
        <v>-0.41641879833432482</v>
      </c>
    </row>
    <row r="62" spans="1:18" x14ac:dyDescent="0.2">
      <c r="A62" s="5">
        <v>43479</v>
      </c>
      <c r="B62" s="11">
        <v>924</v>
      </c>
      <c r="C62" s="11">
        <v>38</v>
      </c>
      <c r="D62" s="11">
        <v>962</v>
      </c>
      <c r="F62" s="5">
        <v>44210</v>
      </c>
      <c r="G62" s="30"/>
      <c r="H62" s="30"/>
      <c r="I62" s="11">
        <v>555</v>
      </c>
      <c r="K62" s="5">
        <v>43482</v>
      </c>
      <c r="L62" s="5">
        <v>44210</v>
      </c>
      <c r="M62" s="30"/>
      <c r="N62" s="30"/>
      <c r="O62" s="11">
        <v>-878</v>
      </c>
      <c r="P62" s="30"/>
      <c r="Q62" s="30"/>
      <c r="R62" s="12">
        <v>-0.6127006280530356</v>
      </c>
    </row>
    <row r="63" spans="1:18" x14ac:dyDescent="0.2">
      <c r="A63" s="5">
        <v>43480</v>
      </c>
      <c r="B63" s="11">
        <v>1098</v>
      </c>
      <c r="C63" s="11">
        <v>311</v>
      </c>
      <c r="D63" s="11">
        <v>1409</v>
      </c>
      <c r="F63" s="5">
        <v>44211</v>
      </c>
      <c r="G63" s="30"/>
      <c r="H63" s="30"/>
      <c r="I63" s="11">
        <v>1226</v>
      </c>
      <c r="K63" s="5">
        <v>43483</v>
      </c>
      <c r="L63" s="5">
        <v>44211</v>
      </c>
      <c r="M63" s="30"/>
      <c r="N63" s="30"/>
      <c r="O63" s="11">
        <v>-937</v>
      </c>
      <c r="P63" s="30"/>
      <c r="Q63" s="30"/>
      <c r="R63" s="12">
        <v>-0.43319463707813222</v>
      </c>
    </row>
    <row r="64" spans="1:18" x14ac:dyDescent="0.2">
      <c r="A64" s="5">
        <v>43481</v>
      </c>
      <c r="B64" s="11">
        <v>1373</v>
      </c>
      <c r="C64" s="11">
        <v>308</v>
      </c>
      <c r="D64" s="11">
        <v>1681</v>
      </c>
      <c r="F64" s="5">
        <v>44212</v>
      </c>
      <c r="G64" s="30"/>
      <c r="H64" s="30"/>
      <c r="I64" s="11">
        <v>1626</v>
      </c>
      <c r="K64" s="5">
        <v>43484</v>
      </c>
      <c r="L64" s="5">
        <v>44212</v>
      </c>
      <c r="M64" s="30"/>
      <c r="N64" s="30"/>
      <c r="O64" s="11">
        <v>-598</v>
      </c>
      <c r="P64" s="30"/>
      <c r="Q64" s="30"/>
      <c r="R64" s="12">
        <v>-0.26888489208633093</v>
      </c>
    </row>
    <row r="65" spans="1:18" x14ac:dyDescent="0.2">
      <c r="A65" s="5">
        <v>43482</v>
      </c>
      <c r="B65" s="11">
        <v>1138</v>
      </c>
      <c r="C65" s="11">
        <v>295</v>
      </c>
      <c r="D65" s="11">
        <v>1433</v>
      </c>
      <c r="F65" s="5">
        <v>44213</v>
      </c>
      <c r="G65" s="30"/>
      <c r="H65" s="30"/>
      <c r="I65" s="11">
        <v>1335</v>
      </c>
      <c r="K65" s="5">
        <v>43485</v>
      </c>
      <c r="L65" s="5">
        <v>44213</v>
      </c>
      <c r="M65" s="30"/>
      <c r="N65" s="30"/>
      <c r="O65" s="11">
        <v>-1634</v>
      </c>
      <c r="P65" s="30"/>
      <c r="Q65" s="30"/>
      <c r="R65" s="12">
        <v>-0.55035365442910078</v>
      </c>
    </row>
    <row r="66" spans="1:18" x14ac:dyDescent="0.2">
      <c r="A66" s="5">
        <v>43483</v>
      </c>
      <c r="B66" s="11">
        <v>1929</v>
      </c>
      <c r="C66" s="11">
        <v>234</v>
      </c>
      <c r="D66" s="11">
        <v>2163</v>
      </c>
      <c r="F66" s="5">
        <v>44214</v>
      </c>
      <c r="G66" s="30"/>
      <c r="H66" s="30"/>
      <c r="I66" s="11">
        <v>1071</v>
      </c>
      <c r="K66" s="5">
        <v>43486</v>
      </c>
      <c r="L66" s="5">
        <v>44214</v>
      </c>
      <c r="M66" s="30"/>
      <c r="N66" s="30"/>
      <c r="O66" s="11">
        <v>-468</v>
      </c>
      <c r="P66" s="30"/>
      <c r="Q66" s="30"/>
      <c r="R66" s="12">
        <v>-0.30409356725146197</v>
      </c>
    </row>
    <row r="67" spans="1:18" x14ac:dyDescent="0.2">
      <c r="A67" s="5">
        <v>43484</v>
      </c>
      <c r="B67" s="11">
        <v>2162</v>
      </c>
      <c r="C67" s="11">
        <v>62</v>
      </c>
      <c r="D67" s="11">
        <v>2224</v>
      </c>
      <c r="F67" s="5">
        <v>44215</v>
      </c>
      <c r="G67" s="30"/>
      <c r="H67" s="30"/>
      <c r="I67" s="11">
        <v>1165</v>
      </c>
      <c r="K67" s="5">
        <v>43487</v>
      </c>
      <c r="L67" s="5">
        <v>44215</v>
      </c>
      <c r="M67" s="30"/>
      <c r="N67" s="30"/>
      <c r="O67" s="11">
        <v>-416</v>
      </c>
      <c r="P67" s="30"/>
      <c r="Q67" s="30"/>
      <c r="R67" s="12">
        <v>-0.26312460468058196</v>
      </c>
    </row>
    <row r="68" spans="1:18" x14ac:dyDescent="0.2">
      <c r="A68" s="5">
        <v>43485</v>
      </c>
      <c r="B68" s="11">
        <v>2949</v>
      </c>
      <c r="C68" s="11">
        <v>20</v>
      </c>
      <c r="D68" s="11">
        <v>2969</v>
      </c>
      <c r="F68" s="5">
        <v>44216</v>
      </c>
      <c r="G68" s="30"/>
      <c r="H68" s="30"/>
      <c r="I68" s="11">
        <v>1096</v>
      </c>
      <c r="K68" s="5">
        <v>43488</v>
      </c>
      <c r="L68" s="5">
        <v>44216</v>
      </c>
      <c r="M68" s="30"/>
      <c r="N68" s="30"/>
      <c r="O68" s="11">
        <v>-391</v>
      </c>
      <c r="P68" s="30"/>
      <c r="Q68" s="30"/>
      <c r="R68" s="12">
        <v>-0.26294552790854064</v>
      </c>
    </row>
    <row r="69" spans="1:18" x14ac:dyDescent="0.2">
      <c r="A69" s="5">
        <v>43486</v>
      </c>
      <c r="B69" s="11">
        <v>1255</v>
      </c>
      <c r="C69" s="11">
        <v>284</v>
      </c>
      <c r="D69" s="11">
        <v>1539</v>
      </c>
      <c r="F69" s="5">
        <v>44217</v>
      </c>
      <c r="G69" s="30"/>
      <c r="H69" s="30"/>
      <c r="I69" s="11">
        <v>863</v>
      </c>
      <c r="K69" s="5">
        <v>43489</v>
      </c>
      <c r="L69" s="5">
        <v>44217</v>
      </c>
      <c r="M69" s="30"/>
      <c r="N69" s="30"/>
      <c r="O69" s="11">
        <v>-823</v>
      </c>
      <c r="P69" s="30"/>
      <c r="Q69" s="30"/>
      <c r="R69" s="12">
        <v>-0.48813760379596682</v>
      </c>
    </row>
    <row r="70" spans="1:18" x14ac:dyDescent="0.2">
      <c r="A70" s="5">
        <v>43487</v>
      </c>
      <c r="B70" s="11">
        <v>1280</v>
      </c>
      <c r="C70" s="11">
        <v>301</v>
      </c>
      <c r="D70" s="11">
        <v>1581</v>
      </c>
      <c r="F70" s="5">
        <v>44218</v>
      </c>
      <c r="G70" s="30"/>
      <c r="H70" s="30"/>
      <c r="I70" s="11">
        <v>1470</v>
      </c>
      <c r="K70" s="5">
        <v>43490</v>
      </c>
      <c r="L70" s="5">
        <v>44218</v>
      </c>
      <c r="M70" s="30"/>
      <c r="N70" s="30"/>
      <c r="O70" s="11">
        <v>-911</v>
      </c>
      <c r="P70" s="30"/>
      <c r="Q70" s="30"/>
      <c r="R70" s="12">
        <v>-0.38261234775304498</v>
      </c>
    </row>
    <row r="71" spans="1:18" x14ac:dyDescent="0.2">
      <c r="A71" s="5">
        <v>43488</v>
      </c>
      <c r="B71" s="11">
        <v>1184</v>
      </c>
      <c r="C71" s="11">
        <v>303</v>
      </c>
      <c r="D71" s="11">
        <v>1487</v>
      </c>
      <c r="F71" s="5">
        <v>44219</v>
      </c>
      <c r="G71" s="30"/>
      <c r="H71" s="30"/>
      <c r="I71" s="11">
        <v>1250</v>
      </c>
      <c r="K71" s="5">
        <v>43491</v>
      </c>
      <c r="L71" s="5">
        <v>44219</v>
      </c>
      <c r="M71" s="30"/>
      <c r="N71" s="30"/>
      <c r="O71" s="11">
        <v>-1082</v>
      </c>
      <c r="P71" s="30"/>
      <c r="Q71" s="30"/>
      <c r="R71" s="12">
        <v>-0.46397941680960553</v>
      </c>
    </row>
    <row r="72" spans="1:18" x14ac:dyDescent="0.2">
      <c r="A72" s="5">
        <v>43489</v>
      </c>
      <c r="B72" s="11">
        <v>1375</v>
      </c>
      <c r="C72" s="11">
        <v>311</v>
      </c>
      <c r="D72" s="11">
        <v>1686</v>
      </c>
      <c r="F72" s="5">
        <v>44220</v>
      </c>
      <c r="G72" s="30"/>
      <c r="H72" s="30"/>
      <c r="I72" s="11">
        <v>1889</v>
      </c>
      <c r="K72" s="5">
        <v>43492</v>
      </c>
      <c r="L72" s="5">
        <v>44220</v>
      </c>
      <c r="M72" s="30"/>
      <c r="N72" s="30"/>
      <c r="O72" s="11">
        <v>-452</v>
      </c>
      <c r="P72" s="30"/>
      <c r="Q72" s="30"/>
      <c r="R72" s="12">
        <v>-0.1930798803929944</v>
      </c>
    </row>
    <row r="73" spans="1:18" x14ac:dyDescent="0.2">
      <c r="A73" s="5">
        <v>43490</v>
      </c>
      <c r="B73" s="11">
        <v>2139</v>
      </c>
      <c r="C73" s="11">
        <v>242</v>
      </c>
      <c r="D73" s="11">
        <v>2381</v>
      </c>
      <c r="F73" s="5">
        <v>44221</v>
      </c>
      <c r="G73" s="30"/>
      <c r="H73" s="30"/>
      <c r="I73" s="11">
        <v>982</v>
      </c>
      <c r="K73" s="5">
        <v>43493</v>
      </c>
      <c r="L73" s="5">
        <v>44221</v>
      </c>
      <c r="M73" s="30"/>
      <c r="N73" s="30"/>
      <c r="O73" s="11">
        <f t="shared" ref="O73:O75" si="2">I73-D76</f>
        <v>-561</v>
      </c>
      <c r="P73" s="30"/>
      <c r="Q73" s="30"/>
      <c r="R73" s="12">
        <f t="shared" ref="R73:R75" si="3">I73/D76-1</f>
        <v>-0.3635774465327285</v>
      </c>
    </row>
    <row r="74" spans="1:18" x14ac:dyDescent="0.2">
      <c r="A74" s="5">
        <v>43491</v>
      </c>
      <c r="B74" s="11">
        <v>2266</v>
      </c>
      <c r="C74" s="11">
        <v>66</v>
      </c>
      <c r="D74" s="11">
        <v>2332</v>
      </c>
      <c r="F74" s="5">
        <v>44222</v>
      </c>
      <c r="G74" s="30"/>
      <c r="H74" s="30"/>
      <c r="I74" s="11">
        <v>1162</v>
      </c>
      <c r="K74" s="5">
        <v>43494</v>
      </c>
      <c r="L74" s="5">
        <v>44222</v>
      </c>
      <c r="M74" s="30"/>
      <c r="N74" s="30"/>
      <c r="O74" s="11">
        <f t="shared" si="2"/>
        <v>-341</v>
      </c>
      <c r="P74" s="30"/>
      <c r="Q74" s="30"/>
      <c r="R74" s="12">
        <f t="shared" si="3"/>
        <v>-0.22687957418496341</v>
      </c>
    </row>
    <row r="75" spans="1:18" x14ac:dyDescent="0.2">
      <c r="A75" s="5">
        <v>43492</v>
      </c>
      <c r="B75" s="11">
        <v>2320</v>
      </c>
      <c r="C75" s="11">
        <v>21</v>
      </c>
      <c r="D75" s="11">
        <v>2341</v>
      </c>
      <c r="F75" s="5">
        <v>44223</v>
      </c>
      <c r="G75" s="30"/>
      <c r="H75" s="30"/>
      <c r="I75" s="11">
        <v>949</v>
      </c>
      <c r="K75" s="5">
        <v>43495</v>
      </c>
      <c r="L75" s="5">
        <v>44223</v>
      </c>
      <c r="M75" s="30"/>
      <c r="N75" s="30"/>
      <c r="O75" s="11">
        <f t="shared" si="2"/>
        <v>-446</v>
      </c>
      <c r="P75" s="30"/>
      <c r="Q75" s="30"/>
      <c r="R75" s="12">
        <f t="shared" si="3"/>
        <v>-0.31971326164874547</v>
      </c>
    </row>
    <row r="76" spans="1:18" x14ac:dyDescent="0.2">
      <c r="A76" s="5">
        <v>43493</v>
      </c>
      <c r="B76" s="11">
        <v>1240</v>
      </c>
      <c r="C76" s="11">
        <v>303</v>
      </c>
      <c r="D76" s="11">
        <v>1543</v>
      </c>
      <c r="F76" s="5">
        <v>44224</v>
      </c>
      <c r="G76" s="30"/>
      <c r="H76" s="30"/>
      <c r="I76" s="11">
        <v>1223</v>
      </c>
      <c r="K76" s="5">
        <v>43496</v>
      </c>
      <c r="L76" s="5">
        <v>44224</v>
      </c>
      <c r="M76" s="30"/>
      <c r="N76" s="30"/>
      <c r="O76" s="11">
        <f t="shared" ref="O76:O79" si="4">I76-D79</f>
        <v>-575</v>
      </c>
      <c r="P76" s="30"/>
      <c r="Q76" s="30"/>
      <c r="R76" s="12">
        <f t="shared" ref="R76:R79" si="5">I76/D79-1</f>
        <v>-0.31979977753058952</v>
      </c>
    </row>
    <row r="77" spans="1:18" x14ac:dyDescent="0.2">
      <c r="A77" s="5">
        <v>43494</v>
      </c>
      <c r="B77" s="11">
        <v>1233</v>
      </c>
      <c r="C77" s="11">
        <v>270</v>
      </c>
      <c r="D77" s="11">
        <v>1503</v>
      </c>
      <c r="F77" s="5">
        <v>44225</v>
      </c>
      <c r="G77" s="30"/>
      <c r="H77" s="30"/>
      <c r="I77" s="11">
        <v>1335</v>
      </c>
      <c r="K77" s="5">
        <v>43497</v>
      </c>
      <c r="L77" s="5">
        <v>44225</v>
      </c>
      <c r="M77" s="30"/>
      <c r="N77" s="30"/>
      <c r="O77" s="11">
        <f t="shared" si="4"/>
        <v>-289</v>
      </c>
      <c r="P77" s="30"/>
      <c r="Q77" s="30"/>
      <c r="R77" s="12">
        <f t="shared" si="5"/>
        <v>-0.17795566502463056</v>
      </c>
    </row>
    <row r="78" spans="1:18" x14ac:dyDescent="0.2">
      <c r="A78" s="5">
        <v>43495</v>
      </c>
      <c r="B78" s="11">
        <v>1083</v>
      </c>
      <c r="C78" s="11">
        <v>312</v>
      </c>
      <c r="D78" s="11">
        <v>1395</v>
      </c>
      <c r="F78" s="5">
        <v>44226</v>
      </c>
      <c r="G78" s="30"/>
      <c r="H78" s="30"/>
      <c r="I78" s="11">
        <v>1607</v>
      </c>
      <c r="K78" s="5">
        <v>43498</v>
      </c>
      <c r="L78" s="5">
        <v>44226</v>
      </c>
      <c r="M78" s="30"/>
      <c r="N78" s="30"/>
      <c r="O78" s="11">
        <f t="shared" si="4"/>
        <v>-118</v>
      </c>
      <c r="P78" s="30"/>
      <c r="Q78" s="30"/>
      <c r="R78" s="12">
        <f t="shared" si="5"/>
        <v>-6.8405797101449228E-2</v>
      </c>
    </row>
    <row r="79" spans="1:18" x14ac:dyDescent="0.2">
      <c r="A79" s="5">
        <v>43496</v>
      </c>
      <c r="B79" s="11">
        <v>1498</v>
      </c>
      <c r="C79" s="11">
        <v>300</v>
      </c>
      <c r="D79" s="11">
        <v>1798</v>
      </c>
      <c r="F79" s="5">
        <v>44227</v>
      </c>
      <c r="G79" s="30"/>
      <c r="H79" s="30"/>
      <c r="I79" s="11">
        <v>1921</v>
      </c>
      <c r="K79" s="5">
        <v>43499</v>
      </c>
      <c r="L79" s="5">
        <v>44227</v>
      </c>
      <c r="M79" s="30"/>
      <c r="N79" s="30"/>
      <c r="O79" s="11">
        <f t="shared" si="4"/>
        <v>-121</v>
      </c>
      <c r="P79" s="30"/>
      <c r="Q79" s="30"/>
      <c r="R79" s="12">
        <f t="shared" si="5"/>
        <v>-5.9255631733594494E-2</v>
      </c>
    </row>
    <row r="80" spans="1:18" x14ac:dyDescent="0.2">
      <c r="A80" s="5">
        <v>43497</v>
      </c>
      <c r="B80" s="11">
        <v>1574</v>
      </c>
      <c r="C80" s="11">
        <v>50</v>
      </c>
      <c r="D80" s="11">
        <v>1624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">
      <c r="A81" s="5">
        <v>43498</v>
      </c>
      <c r="B81" s="11">
        <v>1641</v>
      </c>
      <c r="C81" s="11">
        <v>84</v>
      </c>
      <c r="D81" s="11">
        <v>1725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2">
      <c r="A82" s="5">
        <v>43499</v>
      </c>
      <c r="B82" s="11">
        <v>2014</v>
      </c>
      <c r="C82" s="11">
        <v>28</v>
      </c>
      <c r="D82" s="11">
        <v>2042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2">
      <c r="A83" s="5"/>
      <c r="B83" s="11"/>
      <c r="C83" s="11"/>
      <c r="D83" s="11"/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2">
      <c r="B84" s="2"/>
      <c r="C84" s="2"/>
      <c r="G84" s="2"/>
      <c r="H84" s="2"/>
    </row>
    <row r="85" spans="1:18" ht="12.95" customHeight="1" x14ac:dyDescent="0.2">
      <c r="A85" s="23" t="s">
        <v>10</v>
      </c>
      <c r="B85" s="6"/>
      <c r="C85" s="6"/>
      <c r="D85" s="3"/>
      <c r="F85" s="23" t="s">
        <v>10</v>
      </c>
      <c r="G85" s="6"/>
      <c r="H85" s="6"/>
      <c r="I85" s="3"/>
      <c r="K85" s="23" t="s">
        <v>11</v>
      </c>
      <c r="L85" s="23"/>
      <c r="M85" s="6"/>
      <c r="N85" s="6"/>
      <c r="O85" s="3"/>
      <c r="P85" s="6"/>
      <c r="Q85" s="6"/>
      <c r="R85" s="3"/>
    </row>
    <row r="86" spans="1:18" ht="26.45" customHeight="1" x14ac:dyDescent="0.2">
      <c r="A86" s="24"/>
      <c r="B86" s="7" t="s">
        <v>38</v>
      </c>
      <c r="C86" s="4" t="s">
        <v>2</v>
      </c>
      <c r="D86" s="4" t="s">
        <v>0</v>
      </c>
      <c r="F86" s="24"/>
      <c r="G86" s="7" t="s">
        <v>38</v>
      </c>
      <c r="H86" s="4" t="s">
        <v>2</v>
      </c>
      <c r="I86" s="4" t="s">
        <v>0</v>
      </c>
      <c r="K86" s="24"/>
      <c r="L86" s="24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2">
      <c r="A87" s="5">
        <v>43466</v>
      </c>
      <c r="B87" s="11">
        <v>3871</v>
      </c>
      <c r="C87" s="11">
        <v>29</v>
      </c>
      <c r="D87" s="11">
        <v>3900</v>
      </c>
      <c r="F87" s="5">
        <v>44197</v>
      </c>
      <c r="G87" s="11">
        <v>1014</v>
      </c>
      <c r="H87" s="11">
        <v>24</v>
      </c>
      <c r="I87" s="11">
        <v>1038</v>
      </c>
      <c r="K87" s="5">
        <v>43469</v>
      </c>
      <c r="L87" s="5">
        <v>44197</v>
      </c>
      <c r="M87" s="11">
        <v>-2237</v>
      </c>
      <c r="N87" s="11">
        <v>-114</v>
      </c>
      <c r="O87" s="11">
        <v>-2351</v>
      </c>
      <c r="P87" s="8">
        <v>-0.68809597047062443</v>
      </c>
      <c r="Q87" s="8">
        <v>-0.82608695652173914</v>
      </c>
      <c r="R87" s="12">
        <v>-0.69371496016524048</v>
      </c>
    </row>
    <row r="88" spans="1:18" x14ac:dyDescent="0.2">
      <c r="A88" s="5">
        <v>43467</v>
      </c>
      <c r="B88" s="11">
        <v>5213</v>
      </c>
      <c r="C88" s="11">
        <v>97</v>
      </c>
      <c r="D88" s="11">
        <v>5310</v>
      </c>
      <c r="F88" s="5">
        <v>44198</v>
      </c>
      <c r="G88" s="11">
        <v>1556</v>
      </c>
      <c r="H88" s="11">
        <v>16</v>
      </c>
      <c r="I88" s="11">
        <v>1572</v>
      </c>
      <c r="K88" s="5">
        <v>43470</v>
      </c>
      <c r="L88" s="5">
        <v>44198</v>
      </c>
      <c r="M88" s="11">
        <v>-1713</v>
      </c>
      <c r="N88" s="11">
        <v>-60</v>
      </c>
      <c r="O88" s="11">
        <v>-1773</v>
      </c>
      <c r="P88" s="8">
        <v>-0.52401345977363101</v>
      </c>
      <c r="Q88" s="8">
        <v>-0.78947368421052633</v>
      </c>
      <c r="R88" s="12">
        <v>-0.53004484304932742</v>
      </c>
    </row>
    <row r="89" spans="1:18" x14ac:dyDescent="0.2">
      <c r="A89" s="5">
        <v>43468</v>
      </c>
      <c r="B89" s="11">
        <v>3253</v>
      </c>
      <c r="C89" s="11">
        <v>133</v>
      </c>
      <c r="D89" s="11">
        <v>3386</v>
      </c>
      <c r="F89" s="5">
        <v>44199</v>
      </c>
      <c r="G89" s="11">
        <v>1446</v>
      </c>
      <c r="H89" s="11">
        <v>14</v>
      </c>
      <c r="I89" s="11">
        <v>1460</v>
      </c>
      <c r="K89" s="5">
        <v>43471</v>
      </c>
      <c r="L89" s="5">
        <v>44199</v>
      </c>
      <c r="M89" s="11">
        <v>-1418</v>
      </c>
      <c r="N89" s="11">
        <v>-9</v>
      </c>
      <c r="O89" s="11">
        <v>-1427</v>
      </c>
      <c r="P89" s="8">
        <v>-0.49511173184357538</v>
      </c>
      <c r="Q89" s="8">
        <v>-0.39130434782608692</v>
      </c>
      <c r="R89" s="12">
        <v>-0.49428472462764117</v>
      </c>
    </row>
    <row r="90" spans="1:18" x14ac:dyDescent="0.2">
      <c r="A90" s="5">
        <v>43469</v>
      </c>
      <c r="B90" s="11">
        <v>3251</v>
      </c>
      <c r="C90" s="11">
        <v>138</v>
      </c>
      <c r="D90" s="11">
        <v>3389</v>
      </c>
      <c r="F90" s="5">
        <v>44200</v>
      </c>
      <c r="G90" s="11">
        <v>1637</v>
      </c>
      <c r="H90" s="11">
        <v>76</v>
      </c>
      <c r="I90" s="11">
        <v>1713</v>
      </c>
      <c r="K90" s="5">
        <v>43472</v>
      </c>
      <c r="L90" s="5">
        <v>44200</v>
      </c>
      <c r="M90" s="11">
        <v>158</v>
      </c>
      <c r="N90" s="11">
        <v>-95</v>
      </c>
      <c r="O90" s="11">
        <v>63</v>
      </c>
      <c r="P90" s="8">
        <v>0.10682893847194053</v>
      </c>
      <c r="Q90" s="8">
        <v>-0.55555555555555558</v>
      </c>
      <c r="R90" s="12">
        <v>3.8181818181818095E-2</v>
      </c>
    </row>
    <row r="91" spans="1:18" x14ac:dyDescent="0.2">
      <c r="A91" s="5">
        <v>43470</v>
      </c>
      <c r="B91" s="11">
        <v>3269</v>
      </c>
      <c r="C91" s="11">
        <v>76</v>
      </c>
      <c r="D91" s="11">
        <v>3345</v>
      </c>
      <c r="F91" s="5">
        <v>44201</v>
      </c>
      <c r="G91" s="11">
        <v>1477</v>
      </c>
      <c r="H91" s="11">
        <v>120</v>
      </c>
      <c r="I91" s="11">
        <v>1597</v>
      </c>
      <c r="K91" s="5">
        <v>43473</v>
      </c>
      <c r="L91" s="5">
        <v>44201</v>
      </c>
      <c r="M91" s="11">
        <v>322</v>
      </c>
      <c r="N91" s="11">
        <v>-114</v>
      </c>
      <c r="O91" s="11">
        <v>208</v>
      </c>
      <c r="P91" s="8">
        <v>0.27878787878787881</v>
      </c>
      <c r="Q91" s="8">
        <v>-0.48717948717948723</v>
      </c>
      <c r="R91" s="12">
        <v>0.1497480201583874</v>
      </c>
    </row>
    <row r="92" spans="1:18" x14ac:dyDescent="0.2">
      <c r="A92" s="5">
        <v>43471</v>
      </c>
      <c r="B92" s="11">
        <v>2864</v>
      </c>
      <c r="C92" s="11">
        <v>23</v>
      </c>
      <c r="D92" s="11">
        <v>2887</v>
      </c>
      <c r="F92" s="5">
        <v>44202</v>
      </c>
      <c r="G92" s="11">
        <v>1045</v>
      </c>
      <c r="H92" s="11">
        <v>32</v>
      </c>
      <c r="I92" s="11">
        <v>1077</v>
      </c>
      <c r="K92" s="5">
        <v>43474</v>
      </c>
      <c r="L92" s="5">
        <v>44202</v>
      </c>
      <c r="M92" s="11">
        <v>64</v>
      </c>
      <c r="N92" s="11">
        <v>1</v>
      </c>
      <c r="O92" s="11">
        <v>65</v>
      </c>
      <c r="P92" s="8">
        <v>6.523955147808369E-2</v>
      </c>
      <c r="Q92" s="8">
        <v>3.2258064516129004E-2</v>
      </c>
      <c r="R92" s="12">
        <v>6.422924901185767E-2</v>
      </c>
    </row>
    <row r="93" spans="1:18" x14ac:dyDescent="0.2">
      <c r="A93" s="5">
        <v>43472</v>
      </c>
      <c r="B93" s="11">
        <v>1479</v>
      </c>
      <c r="C93" s="11">
        <v>171</v>
      </c>
      <c r="D93" s="11">
        <v>1650</v>
      </c>
      <c r="F93" s="5">
        <v>44203</v>
      </c>
      <c r="G93" s="11">
        <v>1198</v>
      </c>
      <c r="H93" s="11">
        <v>115</v>
      </c>
      <c r="I93" s="11">
        <v>1313</v>
      </c>
      <c r="K93" s="5">
        <v>43475</v>
      </c>
      <c r="L93" s="5">
        <v>44203</v>
      </c>
      <c r="M93" s="11">
        <v>103</v>
      </c>
      <c r="N93" s="11">
        <v>-120</v>
      </c>
      <c r="O93" s="11">
        <v>-17</v>
      </c>
      <c r="P93" s="8">
        <v>9.4063926940639364E-2</v>
      </c>
      <c r="Q93" s="8">
        <v>-0.5106382978723405</v>
      </c>
      <c r="R93" s="12">
        <v>-1.2781954887218006E-2</v>
      </c>
    </row>
    <row r="94" spans="1:18" x14ac:dyDescent="0.2">
      <c r="A94" s="5">
        <v>43473</v>
      </c>
      <c r="B94" s="11">
        <v>1155</v>
      </c>
      <c r="C94" s="11">
        <v>234</v>
      </c>
      <c r="D94" s="11">
        <v>1389</v>
      </c>
      <c r="F94" s="5">
        <v>44204</v>
      </c>
      <c r="G94" s="11">
        <v>1531</v>
      </c>
      <c r="H94" s="11">
        <v>159</v>
      </c>
      <c r="I94" s="11">
        <v>1690</v>
      </c>
      <c r="K94" s="5">
        <v>43476</v>
      </c>
      <c r="L94" s="5">
        <v>44204</v>
      </c>
      <c r="M94" s="11">
        <v>-213</v>
      </c>
      <c r="N94" s="11">
        <v>-26</v>
      </c>
      <c r="O94" s="11">
        <v>-239</v>
      </c>
      <c r="P94" s="8">
        <v>-0.12213302752293576</v>
      </c>
      <c r="Q94" s="8">
        <v>-0.14054054054054055</v>
      </c>
      <c r="R94" s="12">
        <v>-0.12389839294971483</v>
      </c>
    </row>
    <row r="95" spans="1:18" x14ac:dyDescent="0.2">
      <c r="A95" s="5">
        <v>43474</v>
      </c>
      <c r="B95" s="11">
        <v>981</v>
      </c>
      <c r="C95" s="11">
        <v>31</v>
      </c>
      <c r="D95" s="11">
        <v>1012</v>
      </c>
      <c r="F95" s="5">
        <v>44205</v>
      </c>
      <c r="G95" s="11">
        <v>1608</v>
      </c>
      <c r="H95" s="11">
        <v>51</v>
      </c>
      <c r="I95" s="11">
        <v>1659</v>
      </c>
      <c r="K95" s="5">
        <v>43477</v>
      </c>
      <c r="L95" s="5">
        <v>44205</v>
      </c>
      <c r="M95" s="11">
        <v>-425</v>
      </c>
      <c r="N95" s="11">
        <v>-37</v>
      </c>
      <c r="O95" s="11">
        <v>-462</v>
      </c>
      <c r="P95" s="8">
        <v>-0.20905066404328576</v>
      </c>
      <c r="Q95" s="8">
        <v>-0.42045454545454541</v>
      </c>
      <c r="R95" s="12">
        <v>-0.21782178217821779</v>
      </c>
    </row>
    <row r="96" spans="1:18" x14ac:dyDescent="0.2">
      <c r="A96" s="5">
        <v>43475</v>
      </c>
      <c r="B96" s="11">
        <v>1095</v>
      </c>
      <c r="C96" s="11">
        <v>235</v>
      </c>
      <c r="D96" s="11">
        <v>1330</v>
      </c>
      <c r="F96" s="5">
        <v>44206</v>
      </c>
      <c r="G96" s="11">
        <v>1790</v>
      </c>
      <c r="H96" s="11">
        <v>7</v>
      </c>
      <c r="I96" s="11">
        <v>1797</v>
      </c>
      <c r="K96" s="5">
        <v>43478</v>
      </c>
      <c r="L96" s="5">
        <v>44206</v>
      </c>
      <c r="M96" s="11">
        <v>96</v>
      </c>
      <c r="N96" s="11">
        <v>-24</v>
      </c>
      <c r="O96" s="11">
        <v>72</v>
      </c>
      <c r="P96" s="8">
        <v>5.6670602125147518E-2</v>
      </c>
      <c r="Q96" s="8">
        <v>-0.77419354838709675</v>
      </c>
      <c r="R96" s="12">
        <v>4.1739130434782501E-2</v>
      </c>
    </row>
    <row r="97" spans="1:18" ht="12.6" customHeight="1" x14ac:dyDescent="0.2">
      <c r="A97" s="5">
        <v>43476</v>
      </c>
      <c r="B97" s="11">
        <v>1744</v>
      </c>
      <c r="C97" s="11">
        <v>185</v>
      </c>
      <c r="D97" s="11">
        <v>1929</v>
      </c>
      <c r="F97" s="5">
        <v>44207</v>
      </c>
      <c r="G97" s="30" t="s">
        <v>61</v>
      </c>
      <c r="H97" s="30"/>
      <c r="I97">
        <v>1186</v>
      </c>
      <c r="K97" s="5">
        <v>43479</v>
      </c>
      <c r="L97" s="5">
        <v>44207</v>
      </c>
      <c r="M97" s="30" t="s">
        <v>63</v>
      </c>
      <c r="N97" s="30"/>
      <c r="O97" s="11">
        <v>90</v>
      </c>
      <c r="P97" s="30" t="s">
        <v>63</v>
      </c>
      <c r="Q97" s="30"/>
      <c r="R97" s="12">
        <v>8.2116788321167977E-2</v>
      </c>
    </row>
    <row r="98" spans="1:18" x14ac:dyDescent="0.2">
      <c r="A98" s="5">
        <v>43477</v>
      </c>
      <c r="B98" s="11">
        <v>2033</v>
      </c>
      <c r="C98" s="11">
        <v>88</v>
      </c>
      <c r="D98" s="11">
        <v>2121</v>
      </c>
      <c r="F98" s="5">
        <v>44208</v>
      </c>
      <c r="G98" s="30"/>
      <c r="H98" s="30"/>
      <c r="I98">
        <v>1235</v>
      </c>
      <c r="K98" s="5">
        <v>43480</v>
      </c>
      <c r="L98" s="5">
        <v>44208</v>
      </c>
      <c r="M98" s="30"/>
      <c r="N98" s="30"/>
      <c r="O98" s="11">
        <v>-220</v>
      </c>
      <c r="P98" s="30"/>
      <c r="Q98" s="30"/>
      <c r="R98" s="12">
        <v>-0.15120274914089349</v>
      </c>
    </row>
    <row r="99" spans="1:18" x14ac:dyDescent="0.2">
      <c r="A99" s="5">
        <v>43478</v>
      </c>
      <c r="B99" s="11">
        <v>1694</v>
      </c>
      <c r="C99" s="11">
        <v>31</v>
      </c>
      <c r="D99" s="11">
        <v>1725</v>
      </c>
      <c r="F99" s="5">
        <v>44209</v>
      </c>
      <c r="G99" s="30"/>
      <c r="H99" s="30"/>
      <c r="I99">
        <v>1070</v>
      </c>
      <c r="K99" s="5">
        <v>43481</v>
      </c>
      <c r="L99" s="5">
        <v>44209</v>
      </c>
      <c r="M99" s="30"/>
      <c r="N99" s="30"/>
      <c r="O99" s="11">
        <v>-674</v>
      </c>
      <c r="P99" s="30"/>
      <c r="Q99" s="30"/>
      <c r="R99" s="12">
        <v>-0.38646788990825687</v>
      </c>
    </row>
    <row r="100" spans="1:18" x14ac:dyDescent="0.2">
      <c r="A100" s="5">
        <v>43479</v>
      </c>
      <c r="B100" s="11">
        <v>1056</v>
      </c>
      <c r="C100" s="11">
        <v>40</v>
      </c>
      <c r="D100" s="11">
        <v>1096</v>
      </c>
      <c r="F100" s="5">
        <v>44210</v>
      </c>
      <c r="G100" s="30"/>
      <c r="H100" s="30"/>
      <c r="I100">
        <v>656</v>
      </c>
      <c r="K100" s="5">
        <v>43482</v>
      </c>
      <c r="L100" s="5">
        <v>44210</v>
      </c>
      <c r="M100" s="30"/>
      <c r="N100" s="30"/>
      <c r="O100" s="11">
        <v>-765</v>
      </c>
      <c r="P100" s="30"/>
      <c r="Q100" s="30"/>
      <c r="R100" s="12">
        <v>-0.53835327234342012</v>
      </c>
    </row>
    <row r="101" spans="1:18" x14ac:dyDescent="0.2">
      <c r="A101" s="5">
        <v>43480</v>
      </c>
      <c r="B101" s="11">
        <v>1177</v>
      </c>
      <c r="C101" s="11">
        <v>278</v>
      </c>
      <c r="D101" s="11">
        <v>1455</v>
      </c>
      <c r="F101" s="5">
        <v>44211</v>
      </c>
      <c r="G101" s="30"/>
      <c r="H101" s="30"/>
      <c r="I101">
        <v>1405</v>
      </c>
      <c r="K101" s="5">
        <v>43483</v>
      </c>
      <c r="L101" s="5">
        <v>44211</v>
      </c>
      <c r="M101" s="30"/>
      <c r="N101" s="30"/>
      <c r="O101" s="11">
        <v>-778</v>
      </c>
      <c r="P101" s="30"/>
      <c r="Q101" s="30"/>
      <c r="R101" s="12">
        <v>-0.35639028859367838</v>
      </c>
    </row>
    <row r="102" spans="1:18" x14ac:dyDescent="0.2">
      <c r="A102" s="5">
        <v>43481</v>
      </c>
      <c r="B102" s="11">
        <v>1492</v>
      </c>
      <c r="C102" s="11">
        <v>252</v>
      </c>
      <c r="D102" s="11">
        <v>1744</v>
      </c>
      <c r="F102" s="5">
        <v>44212</v>
      </c>
      <c r="G102" s="30"/>
      <c r="H102" s="30"/>
      <c r="I102">
        <v>1585</v>
      </c>
      <c r="K102" s="5">
        <v>43484</v>
      </c>
      <c r="L102" s="5">
        <v>44212</v>
      </c>
      <c r="M102" s="30"/>
      <c r="N102" s="30"/>
      <c r="O102" s="11">
        <v>-748</v>
      </c>
      <c r="P102" s="30"/>
      <c r="Q102" s="30"/>
      <c r="R102" s="12">
        <v>-0.32061723103300477</v>
      </c>
    </row>
    <row r="103" spans="1:18" x14ac:dyDescent="0.2">
      <c r="A103" s="5">
        <v>43482</v>
      </c>
      <c r="B103" s="11">
        <v>1139</v>
      </c>
      <c r="C103" s="11">
        <v>282</v>
      </c>
      <c r="D103" s="11">
        <v>1421</v>
      </c>
      <c r="F103" s="5">
        <v>44213</v>
      </c>
      <c r="G103" s="30"/>
      <c r="H103" s="30"/>
      <c r="I103">
        <v>1011</v>
      </c>
      <c r="K103" s="5">
        <v>43485</v>
      </c>
      <c r="L103" s="5">
        <v>44213</v>
      </c>
      <c r="M103" s="30"/>
      <c r="N103" s="30"/>
      <c r="O103" s="11">
        <v>-1551</v>
      </c>
      <c r="P103" s="30"/>
      <c r="Q103" s="30"/>
      <c r="R103" s="12">
        <v>-0.6053864168618267</v>
      </c>
    </row>
    <row r="104" spans="1:18" x14ac:dyDescent="0.2">
      <c r="A104" s="5">
        <v>43483</v>
      </c>
      <c r="B104" s="11">
        <v>1954</v>
      </c>
      <c r="C104" s="11">
        <v>229</v>
      </c>
      <c r="D104" s="11">
        <v>2183</v>
      </c>
      <c r="F104" s="5">
        <v>44214</v>
      </c>
      <c r="G104" s="30"/>
      <c r="H104" s="30"/>
      <c r="I104">
        <v>1209</v>
      </c>
      <c r="K104" s="5">
        <v>43486</v>
      </c>
      <c r="L104" s="5">
        <v>44214</v>
      </c>
      <c r="M104" s="30"/>
      <c r="N104" s="30"/>
      <c r="O104" s="11">
        <v>-417</v>
      </c>
      <c r="P104" s="30"/>
      <c r="Q104" s="30"/>
      <c r="R104" s="12">
        <v>-0.25645756457564572</v>
      </c>
    </row>
    <row r="105" spans="1:18" x14ac:dyDescent="0.2">
      <c r="A105" s="5">
        <v>43484</v>
      </c>
      <c r="B105" s="11">
        <v>2220</v>
      </c>
      <c r="C105" s="11">
        <v>113</v>
      </c>
      <c r="D105" s="11">
        <v>2333</v>
      </c>
      <c r="F105" s="5">
        <v>44215</v>
      </c>
      <c r="G105" s="30"/>
      <c r="H105" s="30"/>
      <c r="I105">
        <v>1213</v>
      </c>
      <c r="K105" s="5">
        <v>43487</v>
      </c>
      <c r="L105" s="5">
        <v>44215</v>
      </c>
      <c r="M105" s="30"/>
      <c r="N105" s="30"/>
      <c r="O105" s="11">
        <v>-506</v>
      </c>
      <c r="P105" s="30"/>
      <c r="Q105" s="30"/>
      <c r="R105" s="12">
        <v>-0.2943571844095404</v>
      </c>
    </row>
    <row r="106" spans="1:18" x14ac:dyDescent="0.2">
      <c r="A106" s="5">
        <v>43485</v>
      </c>
      <c r="B106" s="11">
        <v>2540</v>
      </c>
      <c r="C106" s="11">
        <v>22</v>
      </c>
      <c r="D106" s="11">
        <v>2562</v>
      </c>
      <c r="F106" s="5">
        <v>44216</v>
      </c>
      <c r="G106" s="30"/>
      <c r="H106" s="30"/>
      <c r="I106">
        <v>1123</v>
      </c>
      <c r="K106" s="5">
        <v>43488</v>
      </c>
      <c r="L106" s="5">
        <v>44216</v>
      </c>
      <c r="M106" s="30"/>
      <c r="N106" s="30"/>
      <c r="O106" s="11">
        <v>-373</v>
      </c>
      <c r="P106" s="30"/>
      <c r="Q106" s="30"/>
      <c r="R106" s="12">
        <v>-0.24933155080213909</v>
      </c>
    </row>
    <row r="107" spans="1:18" x14ac:dyDescent="0.2">
      <c r="A107" s="5">
        <v>43486</v>
      </c>
      <c r="B107" s="11">
        <v>1416</v>
      </c>
      <c r="C107" s="11">
        <v>210</v>
      </c>
      <c r="D107" s="11">
        <v>1626</v>
      </c>
      <c r="F107" s="5">
        <v>44217</v>
      </c>
      <c r="G107" s="30"/>
      <c r="H107" s="30"/>
      <c r="I107">
        <v>1441</v>
      </c>
      <c r="K107" s="5">
        <v>43489</v>
      </c>
      <c r="L107" s="5">
        <v>44217</v>
      </c>
      <c r="M107" s="30"/>
      <c r="N107" s="30"/>
      <c r="O107" s="11">
        <v>-123</v>
      </c>
      <c r="P107" s="30"/>
      <c r="Q107" s="30"/>
      <c r="R107" s="12">
        <v>-7.8644501278772427E-2</v>
      </c>
    </row>
    <row r="108" spans="1:18" x14ac:dyDescent="0.2">
      <c r="A108" s="5">
        <v>43487</v>
      </c>
      <c r="B108" s="11">
        <v>1394</v>
      </c>
      <c r="C108" s="11">
        <v>325</v>
      </c>
      <c r="D108" s="11">
        <v>1719</v>
      </c>
      <c r="F108" s="5">
        <v>44218</v>
      </c>
      <c r="G108" s="30"/>
      <c r="H108" s="30"/>
      <c r="I108">
        <v>1272</v>
      </c>
      <c r="K108" s="5">
        <v>43490</v>
      </c>
      <c r="L108" s="5">
        <v>44218</v>
      </c>
      <c r="M108" s="30"/>
      <c r="N108" s="30"/>
      <c r="O108" s="11">
        <v>-901</v>
      </c>
      <c r="P108" s="30"/>
      <c r="Q108" s="30"/>
      <c r="R108" s="12">
        <v>-0.41463414634146345</v>
      </c>
    </row>
    <row r="109" spans="1:18" x14ac:dyDescent="0.2">
      <c r="A109" s="5">
        <v>43488</v>
      </c>
      <c r="B109" s="11">
        <v>1232</v>
      </c>
      <c r="C109" s="11">
        <v>264</v>
      </c>
      <c r="D109" s="11">
        <v>1496</v>
      </c>
      <c r="F109" s="5">
        <v>44219</v>
      </c>
      <c r="G109" s="30"/>
      <c r="H109" s="30"/>
      <c r="I109">
        <v>1174</v>
      </c>
      <c r="K109" s="5">
        <v>43491</v>
      </c>
      <c r="L109" s="5">
        <v>44219</v>
      </c>
      <c r="M109" s="30"/>
      <c r="N109" s="30"/>
      <c r="O109" s="11">
        <v>-963</v>
      </c>
      <c r="P109" s="30"/>
      <c r="Q109" s="30"/>
      <c r="R109" s="12">
        <v>-0.45063172671970053</v>
      </c>
    </row>
    <row r="110" spans="1:18" x14ac:dyDescent="0.2">
      <c r="A110" s="5">
        <v>43489</v>
      </c>
      <c r="B110" s="11">
        <v>1304</v>
      </c>
      <c r="C110" s="11">
        <v>260</v>
      </c>
      <c r="D110" s="11">
        <v>1564</v>
      </c>
      <c r="F110" s="5">
        <v>44220</v>
      </c>
      <c r="G110" s="30"/>
      <c r="H110" s="30"/>
      <c r="I110">
        <v>1726</v>
      </c>
      <c r="K110" s="5">
        <v>43492</v>
      </c>
      <c r="L110" s="5">
        <v>44220</v>
      </c>
      <c r="M110" s="30"/>
      <c r="N110" s="30"/>
      <c r="O110" s="11">
        <v>-613</v>
      </c>
      <c r="P110" s="30"/>
      <c r="Q110" s="30"/>
      <c r="R110" s="12">
        <v>-0.26207781103035488</v>
      </c>
    </row>
    <row r="111" spans="1:18" x14ac:dyDescent="0.2">
      <c r="A111" s="5">
        <v>43490</v>
      </c>
      <c r="B111" s="11">
        <v>1951</v>
      </c>
      <c r="C111" s="11">
        <v>222</v>
      </c>
      <c r="D111" s="11">
        <v>2173</v>
      </c>
      <c r="F111" s="5">
        <v>44221</v>
      </c>
      <c r="G111" s="30"/>
      <c r="H111" s="30"/>
      <c r="I111" s="11">
        <v>1078</v>
      </c>
      <c r="K111" s="5">
        <v>43493</v>
      </c>
      <c r="L111" s="5">
        <v>44221</v>
      </c>
      <c r="M111" s="30"/>
      <c r="N111" s="30"/>
      <c r="O111" s="11">
        <f t="shared" ref="O111:O113" si="6">I111-D114</f>
        <v>-521</v>
      </c>
      <c r="P111" s="30"/>
      <c r="Q111" s="30"/>
      <c r="R111" s="12">
        <f t="shared" ref="R111:R113" si="7">I111/D114-1</f>
        <v>-0.32582864290181368</v>
      </c>
    </row>
    <row r="112" spans="1:18" x14ac:dyDescent="0.2">
      <c r="A112" s="5">
        <v>43491</v>
      </c>
      <c r="B112" s="11">
        <v>2014</v>
      </c>
      <c r="C112" s="11">
        <v>123</v>
      </c>
      <c r="D112" s="11">
        <v>2137</v>
      </c>
      <c r="F112" s="5">
        <v>44222</v>
      </c>
      <c r="G112" s="30"/>
      <c r="H112" s="30"/>
      <c r="I112" s="11">
        <v>1494</v>
      </c>
      <c r="K112" s="5">
        <v>43494</v>
      </c>
      <c r="L112" s="5">
        <v>44222</v>
      </c>
      <c r="M112" s="30"/>
      <c r="N112" s="30"/>
      <c r="O112" s="11">
        <f t="shared" si="6"/>
        <v>-195</v>
      </c>
      <c r="P112" s="30"/>
      <c r="Q112" s="30"/>
      <c r="R112" s="12">
        <f t="shared" si="7"/>
        <v>-0.11545293072824159</v>
      </c>
    </row>
    <row r="113" spans="1:18" x14ac:dyDescent="0.2">
      <c r="A113" s="5">
        <v>43492</v>
      </c>
      <c r="B113" s="11">
        <v>2309</v>
      </c>
      <c r="C113" s="11">
        <v>30</v>
      </c>
      <c r="D113" s="11">
        <v>2339</v>
      </c>
      <c r="F113" s="5">
        <v>44223</v>
      </c>
      <c r="G113" s="30"/>
      <c r="H113" s="30"/>
      <c r="I113" s="11">
        <v>961</v>
      </c>
      <c r="K113" s="5">
        <v>43495</v>
      </c>
      <c r="L113" s="5">
        <v>44223</v>
      </c>
      <c r="M113" s="30"/>
      <c r="N113" s="30"/>
      <c r="O113" s="11">
        <f t="shared" si="6"/>
        <v>-518</v>
      </c>
      <c r="P113" s="30"/>
      <c r="Q113" s="30"/>
      <c r="R113" s="12">
        <f t="shared" si="7"/>
        <v>-0.35023664638269103</v>
      </c>
    </row>
    <row r="114" spans="1:18" x14ac:dyDescent="0.2">
      <c r="A114" s="5">
        <v>43493</v>
      </c>
      <c r="B114" s="11">
        <v>1363</v>
      </c>
      <c r="C114" s="11">
        <v>236</v>
      </c>
      <c r="D114" s="11">
        <v>1599</v>
      </c>
      <c r="F114" s="5">
        <v>44224</v>
      </c>
      <c r="G114" s="30"/>
      <c r="H114" s="30"/>
      <c r="I114" s="11">
        <v>1068</v>
      </c>
      <c r="K114" s="5">
        <v>43496</v>
      </c>
      <c r="L114" s="5">
        <v>44224</v>
      </c>
      <c r="M114" s="30"/>
      <c r="N114" s="30"/>
      <c r="O114" s="11">
        <f t="shared" ref="O114:O117" si="8">I114-D117</f>
        <v>-631</v>
      </c>
      <c r="P114" s="30"/>
      <c r="Q114" s="30"/>
      <c r="R114" s="12">
        <f t="shared" ref="R114:R117" si="9">I114/D117-1</f>
        <v>-0.37139493819894054</v>
      </c>
    </row>
    <row r="115" spans="1:18" x14ac:dyDescent="0.2">
      <c r="A115" s="5">
        <v>43494</v>
      </c>
      <c r="B115" s="11">
        <v>1397</v>
      </c>
      <c r="C115" s="11">
        <v>292</v>
      </c>
      <c r="D115" s="11">
        <v>1689</v>
      </c>
      <c r="F115" s="5">
        <v>44225</v>
      </c>
      <c r="G115" s="30"/>
      <c r="H115" s="30"/>
      <c r="I115" s="11">
        <v>1190</v>
      </c>
      <c r="K115" s="5">
        <v>43497</v>
      </c>
      <c r="L115" s="5">
        <v>44225</v>
      </c>
      <c r="M115" s="30"/>
      <c r="N115" s="30"/>
      <c r="O115" s="11">
        <f t="shared" si="8"/>
        <v>-156</v>
      </c>
      <c r="P115" s="30"/>
      <c r="Q115" s="30"/>
      <c r="R115" s="12">
        <f t="shared" si="9"/>
        <v>-0.1158989598811293</v>
      </c>
    </row>
    <row r="116" spans="1:18" x14ac:dyDescent="0.2">
      <c r="A116" s="5">
        <v>43495</v>
      </c>
      <c r="B116" s="11">
        <v>1195</v>
      </c>
      <c r="C116" s="11">
        <v>284</v>
      </c>
      <c r="D116" s="11">
        <v>1479</v>
      </c>
      <c r="F116" s="5">
        <v>44226</v>
      </c>
      <c r="G116" s="30"/>
      <c r="H116" s="30"/>
      <c r="I116" s="11">
        <v>1259</v>
      </c>
      <c r="K116" s="5">
        <v>43498</v>
      </c>
      <c r="L116" s="5">
        <v>44226</v>
      </c>
      <c r="M116" s="30"/>
      <c r="N116" s="30"/>
      <c r="O116" s="11">
        <f t="shared" si="8"/>
        <v>-573</v>
      </c>
      <c r="P116" s="30"/>
      <c r="Q116" s="30"/>
      <c r="R116" s="12">
        <f t="shared" si="9"/>
        <v>-0.31277292576419213</v>
      </c>
    </row>
    <row r="117" spans="1:18" x14ac:dyDescent="0.2">
      <c r="A117" s="5">
        <v>43496</v>
      </c>
      <c r="B117" s="11">
        <v>1444</v>
      </c>
      <c r="C117" s="11">
        <v>255</v>
      </c>
      <c r="D117" s="11">
        <v>1699</v>
      </c>
      <c r="F117" s="5">
        <v>44227</v>
      </c>
      <c r="G117" s="30"/>
      <c r="H117" s="30"/>
      <c r="I117" s="11">
        <v>1860</v>
      </c>
      <c r="K117" s="5">
        <v>43499</v>
      </c>
      <c r="L117" s="5">
        <v>44227</v>
      </c>
      <c r="M117" s="30"/>
      <c r="N117" s="30"/>
      <c r="O117" s="11">
        <f t="shared" si="8"/>
        <v>-84</v>
      </c>
      <c r="P117" s="30"/>
      <c r="Q117" s="30"/>
      <c r="R117" s="12">
        <f t="shared" si="9"/>
        <v>-4.3209876543209846E-2</v>
      </c>
    </row>
    <row r="118" spans="1:18" x14ac:dyDescent="0.2">
      <c r="A118" s="5">
        <v>43497</v>
      </c>
      <c r="B118" s="11">
        <v>1300</v>
      </c>
      <c r="C118" s="11">
        <v>46</v>
      </c>
      <c r="D118" s="11">
        <v>1346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2">
      <c r="A119" s="5">
        <v>43498</v>
      </c>
      <c r="B119" s="11">
        <v>1743</v>
      </c>
      <c r="C119" s="11">
        <v>89</v>
      </c>
      <c r="D119" s="11">
        <v>1832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2">
      <c r="A120" s="5">
        <v>43499</v>
      </c>
      <c r="B120" s="11">
        <v>1913</v>
      </c>
      <c r="C120" s="11">
        <v>31</v>
      </c>
      <c r="D120" s="11">
        <v>1944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</sheetData>
  <mergeCells count="19">
    <mergeCell ref="G97:H117"/>
    <mergeCell ref="M97:N117"/>
    <mergeCell ref="P97:Q117"/>
    <mergeCell ref="M59:N79"/>
    <mergeCell ref="P59:Q79"/>
    <mergeCell ref="A6:D6"/>
    <mergeCell ref="A7:C7"/>
    <mergeCell ref="A9:A10"/>
    <mergeCell ref="F9:F10"/>
    <mergeCell ref="K9:L10"/>
    <mergeCell ref="M21:N41"/>
    <mergeCell ref="P21:Q41"/>
    <mergeCell ref="A85:A86"/>
    <mergeCell ref="F85:F86"/>
    <mergeCell ref="K85:L86"/>
    <mergeCell ref="A47:A48"/>
    <mergeCell ref="F47:F48"/>
    <mergeCell ref="K47:L48"/>
    <mergeCell ref="G59:H79"/>
  </mergeCells>
  <pageMargins left="0.7" right="0.7" top="0.78740157499999996" bottom="0.78740157499999996" header="0.3" footer="0.3"/>
  <pageSetup paperSize="8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BE312"/>
  <sheetViews>
    <sheetView zoomScale="70" zoomScaleNormal="70" workbookViewId="0"/>
  </sheetViews>
  <sheetFormatPr baseColWidth="10" defaultRowHeight="12.75" x14ac:dyDescent="0.2"/>
  <cols>
    <col min="1" max="1" width="29.42578125" customWidth="1"/>
    <col min="2" max="2" width="12.85546875" bestFit="1" customWidth="1"/>
    <col min="3" max="3" width="7.42578125" bestFit="1" customWidth="1"/>
    <col min="4" max="4" width="15.85546875" bestFit="1" customWidth="1"/>
    <col min="5" max="5" width="1.140625" customWidth="1"/>
    <col min="6" max="6" width="30" customWidth="1"/>
    <col min="7" max="7" width="12.85546875" bestFit="1" customWidth="1"/>
    <col min="8" max="8" width="7.42578125" bestFit="1" customWidth="1"/>
    <col min="9" max="9" width="15.85546875" bestFit="1" customWidth="1"/>
    <col min="10" max="10" width="0.85546875" customWidth="1"/>
    <col min="11" max="11" width="29.42578125" customWidth="1"/>
    <col min="12" max="12" width="29.5703125" customWidth="1"/>
    <col min="13" max="13" width="12.85546875" bestFit="1" customWidth="1"/>
    <col min="14" max="14" width="7.42578125" bestFit="1" customWidth="1"/>
    <col min="15" max="15" width="15.85546875" bestFit="1" customWidth="1"/>
    <col min="16" max="16" width="12.85546875" bestFit="1" customWidth="1"/>
    <col min="17" max="17" width="7.140625" bestFit="1" customWidth="1"/>
    <col min="18" max="18" width="15.85546875" style="9" bestFit="1" customWidth="1"/>
  </cols>
  <sheetData>
    <row r="1" spans="1:57" ht="15.75" x14ac:dyDescent="0.25">
      <c r="A1" s="10" t="s">
        <v>54</v>
      </c>
      <c r="BC1" t="s">
        <v>58</v>
      </c>
      <c r="BD1" t="s">
        <v>59</v>
      </c>
      <c r="BE1" t="s">
        <v>60</v>
      </c>
    </row>
    <row r="2" spans="1:57" ht="15" x14ac:dyDescent="0.2">
      <c r="A2" s="16" t="s">
        <v>44</v>
      </c>
      <c r="BC2">
        <v>0</v>
      </c>
      <c r="BD2">
        <v>0</v>
      </c>
      <c r="BE2">
        <v>0</v>
      </c>
    </row>
    <row r="3" spans="1:57" ht="15" x14ac:dyDescent="0.2">
      <c r="A3" s="16" t="s">
        <v>45</v>
      </c>
      <c r="BC3">
        <v>0</v>
      </c>
      <c r="BD3">
        <v>0</v>
      </c>
      <c r="BE3">
        <v>0</v>
      </c>
    </row>
    <row r="4" spans="1:57" ht="15" x14ac:dyDescent="0.2">
      <c r="A4" s="16" t="s">
        <v>46</v>
      </c>
      <c r="BC4">
        <v>0</v>
      </c>
      <c r="BD4">
        <v>0</v>
      </c>
      <c r="BE4">
        <v>0</v>
      </c>
    </row>
    <row r="5" spans="1:57" ht="15" x14ac:dyDescent="0.2">
      <c r="A5" s="16"/>
      <c r="BC5">
        <v>0</v>
      </c>
      <c r="BD5">
        <v>0</v>
      </c>
      <c r="BE5">
        <v>0</v>
      </c>
    </row>
    <row r="6" spans="1:57" ht="15" x14ac:dyDescent="0.2">
      <c r="A6" s="21" t="s">
        <v>47</v>
      </c>
      <c r="B6" s="22"/>
      <c r="C6" s="22"/>
      <c r="D6" s="22"/>
      <c r="E6" s="17"/>
      <c r="F6" s="17"/>
      <c r="G6" s="17"/>
      <c r="BC6">
        <v>0</v>
      </c>
      <c r="BD6">
        <v>0</v>
      </c>
      <c r="BE6">
        <v>0</v>
      </c>
    </row>
    <row r="7" spans="1:57" ht="15" x14ac:dyDescent="0.2">
      <c r="A7" s="21" t="s">
        <v>48</v>
      </c>
      <c r="B7" s="22"/>
      <c r="C7" s="22"/>
      <c r="BC7">
        <v>0</v>
      </c>
      <c r="BD7">
        <v>0</v>
      </c>
      <c r="BE7">
        <v>0</v>
      </c>
    </row>
    <row r="8" spans="1:57" x14ac:dyDescent="0.2">
      <c r="BC8">
        <v>0</v>
      </c>
      <c r="BD8">
        <v>0</v>
      </c>
      <c r="BE8">
        <v>0</v>
      </c>
    </row>
    <row r="9" spans="1:57" ht="12.95" customHeight="1" x14ac:dyDescent="0.2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  <c r="BC9">
        <v>0</v>
      </c>
      <c r="BD9">
        <v>0</v>
      </c>
      <c r="BE9">
        <v>0</v>
      </c>
    </row>
    <row r="10" spans="1:57" ht="29.45" customHeight="1" x14ac:dyDescent="0.2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  <c r="BC10">
        <v>0</v>
      </c>
      <c r="BD10">
        <v>0</v>
      </c>
      <c r="BE10">
        <v>0</v>
      </c>
    </row>
    <row r="11" spans="1:57" x14ac:dyDescent="0.2">
      <c r="A11" s="5">
        <v>43466</v>
      </c>
      <c r="B11" s="11">
        <v>54174</v>
      </c>
      <c r="C11" s="11">
        <v>244</v>
      </c>
      <c r="D11" s="11">
        <v>54418</v>
      </c>
      <c r="F11" s="5">
        <v>44197</v>
      </c>
      <c r="G11" s="11">
        <v>27658</v>
      </c>
      <c r="H11" s="11">
        <v>116</v>
      </c>
      <c r="I11" s="11">
        <v>27774</v>
      </c>
      <c r="K11" s="5">
        <v>43469</v>
      </c>
      <c r="L11" s="5">
        <v>44197</v>
      </c>
      <c r="M11" s="11">
        <v>-50989</v>
      </c>
      <c r="N11" s="11">
        <v>-4271</v>
      </c>
      <c r="O11" s="11">
        <v>-55260</v>
      </c>
      <c r="P11" s="8">
        <v>-0.64832733607130599</v>
      </c>
      <c r="Q11" s="8">
        <v>-0.9735582402552998</v>
      </c>
      <c r="R11" s="12">
        <v>-0.66551051376544546</v>
      </c>
    </row>
    <row r="12" spans="1:57" x14ac:dyDescent="0.2">
      <c r="A12" s="5">
        <v>43467</v>
      </c>
      <c r="B12" s="11">
        <v>82566</v>
      </c>
      <c r="C12" s="11">
        <v>2321</v>
      </c>
      <c r="D12" s="11">
        <v>84887</v>
      </c>
      <c r="F12" s="5">
        <v>44198</v>
      </c>
      <c r="G12" s="11">
        <v>45440</v>
      </c>
      <c r="H12" s="11">
        <v>425</v>
      </c>
      <c r="I12" s="11">
        <v>45865</v>
      </c>
      <c r="K12" s="5">
        <v>43470</v>
      </c>
      <c r="L12" s="5">
        <v>44198</v>
      </c>
      <c r="M12" s="11">
        <v>-32430</v>
      </c>
      <c r="N12" s="11">
        <v>-935</v>
      </c>
      <c r="O12" s="11">
        <v>-33365</v>
      </c>
      <c r="P12" s="8">
        <v>-0.41646333632978039</v>
      </c>
      <c r="Q12" s="8">
        <v>-0.6875</v>
      </c>
      <c r="R12" s="12">
        <v>-0.42111573898775712</v>
      </c>
    </row>
    <row r="13" spans="1:57" x14ac:dyDescent="0.2">
      <c r="A13" s="5">
        <v>43468</v>
      </c>
      <c r="B13" s="11">
        <v>78991</v>
      </c>
      <c r="C13" s="11">
        <v>4502</v>
      </c>
      <c r="D13" s="11">
        <v>83493</v>
      </c>
      <c r="F13" s="5">
        <v>44199</v>
      </c>
      <c r="G13" s="11">
        <v>41743</v>
      </c>
      <c r="H13" s="11">
        <v>148</v>
      </c>
      <c r="I13" s="11">
        <v>41891</v>
      </c>
      <c r="K13" s="5">
        <v>43471</v>
      </c>
      <c r="L13" s="5">
        <v>44199</v>
      </c>
      <c r="M13" s="11">
        <v>-18660</v>
      </c>
      <c r="N13" s="11">
        <v>-159</v>
      </c>
      <c r="O13" s="11">
        <v>-18819</v>
      </c>
      <c r="P13" s="8">
        <v>-0.30892505339138787</v>
      </c>
      <c r="Q13" s="8">
        <v>-0.51791530944625408</v>
      </c>
      <c r="R13" s="12">
        <v>-0.30998188107395819</v>
      </c>
    </row>
    <row r="14" spans="1:57" x14ac:dyDescent="0.2">
      <c r="A14" s="5">
        <v>43469</v>
      </c>
      <c r="B14" s="11">
        <v>78647</v>
      </c>
      <c r="C14" s="11">
        <v>4387</v>
      </c>
      <c r="D14" s="11">
        <v>83034</v>
      </c>
      <c r="F14" s="5">
        <v>44200</v>
      </c>
      <c r="G14" s="11">
        <v>59366</v>
      </c>
      <c r="H14" s="11">
        <v>4082</v>
      </c>
      <c r="I14" s="11">
        <v>63448</v>
      </c>
      <c r="K14" s="5">
        <v>43472</v>
      </c>
      <c r="L14" s="5">
        <v>44200</v>
      </c>
      <c r="M14" s="11">
        <v>-13236</v>
      </c>
      <c r="N14" s="11">
        <v>-1612</v>
      </c>
      <c r="O14" s="11">
        <v>-14848</v>
      </c>
      <c r="P14" s="8">
        <v>-0.18230902729952347</v>
      </c>
      <c r="Q14" s="8">
        <v>-0.28310502283105021</v>
      </c>
      <c r="R14" s="12">
        <v>-0.18963931746193929</v>
      </c>
    </row>
    <row r="15" spans="1:57" x14ac:dyDescent="0.2">
      <c r="A15" s="5">
        <v>43470</v>
      </c>
      <c r="B15" s="11">
        <v>77870</v>
      </c>
      <c r="C15" s="11">
        <v>1360</v>
      </c>
      <c r="D15" s="11">
        <v>79230</v>
      </c>
      <c r="F15" s="5">
        <v>44201</v>
      </c>
      <c r="G15" s="11">
        <v>58620</v>
      </c>
      <c r="H15" s="11">
        <v>5229</v>
      </c>
      <c r="I15" s="11">
        <v>63849</v>
      </c>
      <c r="K15" s="5">
        <v>43473</v>
      </c>
      <c r="L15" s="5">
        <v>44201</v>
      </c>
      <c r="M15" s="11">
        <v>-12879</v>
      </c>
      <c r="N15" s="11">
        <v>-1379</v>
      </c>
      <c r="O15" s="11">
        <v>-14258</v>
      </c>
      <c r="P15" s="8">
        <v>-0.18012839340410358</v>
      </c>
      <c r="Q15" s="8">
        <v>-0.20868644067796616</v>
      </c>
      <c r="R15" s="12">
        <v>-0.18254445824317922</v>
      </c>
    </row>
    <row r="16" spans="1:57" x14ac:dyDescent="0.2">
      <c r="A16" s="5">
        <v>43471</v>
      </c>
      <c r="B16" s="11">
        <v>60403</v>
      </c>
      <c r="C16" s="11">
        <v>307</v>
      </c>
      <c r="D16" s="11">
        <v>60710</v>
      </c>
      <c r="F16" s="5">
        <v>44202</v>
      </c>
      <c r="G16" s="11">
        <v>58056</v>
      </c>
      <c r="H16" s="11">
        <v>5173</v>
      </c>
      <c r="I16" s="11">
        <v>63229</v>
      </c>
      <c r="K16" s="5">
        <v>43474</v>
      </c>
      <c r="L16" s="5">
        <v>44202</v>
      </c>
      <c r="M16" s="11">
        <v>-13666</v>
      </c>
      <c r="N16" s="11">
        <v>-1850</v>
      </c>
      <c r="O16" s="11">
        <v>-15516</v>
      </c>
      <c r="P16" s="8">
        <v>-0.19054125651822318</v>
      </c>
      <c r="Q16" s="8">
        <v>-0.26342019080165169</v>
      </c>
      <c r="R16" s="12">
        <v>-0.1970410819734586</v>
      </c>
    </row>
    <row r="17" spans="1:18" x14ac:dyDescent="0.2">
      <c r="A17" s="5">
        <v>43472</v>
      </c>
      <c r="B17" s="11">
        <v>72602</v>
      </c>
      <c r="C17" s="11">
        <v>5694</v>
      </c>
      <c r="D17" s="11">
        <v>78296</v>
      </c>
      <c r="F17" s="5">
        <v>44203</v>
      </c>
      <c r="G17" s="11">
        <v>61290</v>
      </c>
      <c r="H17" s="11">
        <v>5916</v>
      </c>
      <c r="I17" s="11">
        <v>67206</v>
      </c>
      <c r="K17" s="5">
        <v>43475</v>
      </c>
      <c r="L17" s="5">
        <v>44203</v>
      </c>
      <c r="M17" s="11">
        <v>-12572</v>
      </c>
      <c r="N17" s="11">
        <v>-900</v>
      </c>
      <c r="O17" s="11">
        <v>-13472</v>
      </c>
      <c r="P17" s="8">
        <v>-0.17020930925238964</v>
      </c>
      <c r="Q17" s="8">
        <v>-0.13204225352112675</v>
      </c>
      <c r="R17" s="12">
        <v>-0.1669848037878976</v>
      </c>
    </row>
    <row r="18" spans="1:18" x14ac:dyDescent="0.2">
      <c r="A18" s="5">
        <v>43473</v>
      </c>
      <c r="B18" s="11">
        <v>71499</v>
      </c>
      <c r="C18" s="11">
        <v>6608</v>
      </c>
      <c r="D18" s="11">
        <v>78107</v>
      </c>
      <c r="F18" s="5">
        <v>44204</v>
      </c>
      <c r="G18" s="11">
        <v>64754</v>
      </c>
      <c r="H18" s="11">
        <v>5371</v>
      </c>
      <c r="I18" s="11">
        <v>70125</v>
      </c>
      <c r="K18" s="5">
        <v>43476</v>
      </c>
      <c r="L18" s="5">
        <v>44204</v>
      </c>
      <c r="M18" s="11">
        <v>-15247</v>
      </c>
      <c r="N18" s="11">
        <v>-932</v>
      </c>
      <c r="O18" s="11">
        <v>-16179</v>
      </c>
      <c r="P18" s="8">
        <v>-0.19058511768602893</v>
      </c>
      <c r="Q18" s="8">
        <v>-0.14786609551007457</v>
      </c>
      <c r="R18" s="12">
        <v>-0.18746523915461621</v>
      </c>
    </row>
    <row r="19" spans="1:18" x14ac:dyDescent="0.2">
      <c r="A19" s="5">
        <v>43474</v>
      </c>
      <c r="B19" s="11">
        <v>71722</v>
      </c>
      <c r="C19" s="11">
        <v>7023</v>
      </c>
      <c r="D19" s="11">
        <v>78745</v>
      </c>
      <c r="F19" s="5">
        <v>44205</v>
      </c>
      <c r="G19" s="11">
        <v>47145</v>
      </c>
      <c r="H19" s="11">
        <v>1386</v>
      </c>
      <c r="I19" s="11">
        <v>48531</v>
      </c>
      <c r="K19" s="5">
        <v>43477</v>
      </c>
      <c r="L19" s="5">
        <v>44205</v>
      </c>
      <c r="M19" s="11">
        <v>-24590</v>
      </c>
      <c r="N19" s="11">
        <v>-338</v>
      </c>
      <c r="O19" s="11">
        <v>-24928</v>
      </c>
      <c r="P19" s="8">
        <v>-0.34278943333100997</v>
      </c>
      <c r="Q19" s="8">
        <v>-0.19605568445475641</v>
      </c>
      <c r="R19" s="12">
        <v>-0.3393457574973795</v>
      </c>
    </row>
    <row r="20" spans="1:18" x14ac:dyDescent="0.2">
      <c r="A20" s="5">
        <v>43475</v>
      </c>
      <c r="B20" s="11">
        <v>73862</v>
      </c>
      <c r="C20" s="11">
        <v>6816</v>
      </c>
      <c r="D20" s="11">
        <v>80678</v>
      </c>
      <c r="F20" s="5">
        <v>44206</v>
      </c>
      <c r="G20" s="11">
        <v>38513</v>
      </c>
      <c r="H20" s="11">
        <v>184</v>
      </c>
      <c r="I20" s="11">
        <v>38697</v>
      </c>
      <c r="K20" s="5">
        <v>43478</v>
      </c>
      <c r="L20" s="5">
        <v>44206</v>
      </c>
      <c r="M20" s="11">
        <v>-15041</v>
      </c>
      <c r="N20" s="11">
        <v>-63</v>
      </c>
      <c r="O20" s="11">
        <v>-15104</v>
      </c>
      <c r="P20" s="8">
        <v>-0.28085670538148411</v>
      </c>
      <c r="Q20" s="8">
        <v>-0.25506072874493924</v>
      </c>
      <c r="R20" s="12">
        <v>-0.28073827624021863</v>
      </c>
    </row>
    <row r="21" spans="1:18" x14ac:dyDescent="0.2">
      <c r="A21" s="5">
        <v>43476</v>
      </c>
      <c r="B21" s="11">
        <v>80001</v>
      </c>
      <c r="C21" s="11">
        <v>6303</v>
      </c>
      <c r="D21" s="11">
        <v>86304</v>
      </c>
      <c r="F21" s="5">
        <v>44207</v>
      </c>
      <c r="G21" s="11">
        <v>63874</v>
      </c>
      <c r="H21" s="11">
        <v>6306</v>
      </c>
      <c r="I21" s="11">
        <v>70180</v>
      </c>
      <c r="K21" s="5">
        <v>43479</v>
      </c>
      <c r="L21" s="5">
        <v>44207</v>
      </c>
      <c r="M21" s="11">
        <v>-8801</v>
      </c>
      <c r="N21" s="11">
        <v>-180</v>
      </c>
      <c r="O21" s="11">
        <v>-8981</v>
      </c>
      <c r="P21" s="8">
        <v>-0.12110079119367045</v>
      </c>
      <c r="Q21" s="8">
        <v>-2.7752081406105411E-2</v>
      </c>
      <c r="R21" s="12">
        <v>-0.11345233132476851</v>
      </c>
    </row>
    <row r="22" spans="1:18" x14ac:dyDescent="0.2">
      <c r="A22" s="5">
        <v>43477</v>
      </c>
      <c r="B22" s="11">
        <v>71735</v>
      </c>
      <c r="C22" s="11">
        <v>1724</v>
      </c>
      <c r="D22" s="11">
        <v>73459</v>
      </c>
      <c r="F22" s="5">
        <v>44208</v>
      </c>
      <c r="G22" s="11">
        <v>62857</v>
      </c>
      <c r="H22" s="11">
        <v>7150</v>
      </c>
      <c r="I22" s="11">
        <v>70007</v>
      </c>
      <c r="K22" s="5">
        <v>43480</v>
      </c>
      <c r="L22" s="5">
        <v>44208</v>
      </c>
      <c r="M22" s="11">
        <v>-7637</v>
      </c>
      <c r="N22" s="11">
        <v>-455</v>
      </c>
      <c r="O22" s="11">
        <v>-8092</v>
      </c>
      <c r="P22" s="8">
        <v>-0.10833546117400061</v>
      </c>
      <c r="Q22" s="8">
        <v>-5.9829059829059839E-2</v>
      </c>
      <c r="R22" s="12">
        <v>-0.10361208210092321</v>
      </c>
    </row>
    <row r="23" spans="1:18" x14ac:dyDescent="0.2">
      <c r="A23" s="5">
        <v>43478</v>
      </c>
      <c r="B23" s="11">
        <v>53554</v>
      </c>
      <c r="C23" s="11">
        <v>247</v>
      </c>
      <c r="D23" s="11">
        <v>53801</v>
      </c>
      <c r="F23" s="5">
        <v>44209</v>
      </c>
      <c r="G23" s="11">
        <v>62766</v>
      </c>
      <c r="H23" s="11">
        <v>7281</v>
      </c>
      <c r="I23" s="11">
        <v>70047</v>
      </c>
      <c r="K23" s="5">
        <v>43481</v>
      </c>
      <c r="L23" s="5">
        <v>44209</v>
      </c>
      <c r="M23" s="11">
        <v>1225</v>
      </c>
      <c r="N23" s="11">
        <v>504</v>
      </c>
      <c r="O23" s="11">
        <v>1729</v>
      </c>
      <c r="P23" s="8">
        <v>1.9905428901057842E-2</v>
      </c>
      <c r="Q23" s="8">
        <v>7.4369189907038447E-2</v>
      </c>
      <c r="R23" s="12">
        <v>2.5308117919142781E-2</v>
      </c>
    </row>
    <row r="24" spans="1:18" x14ac:dyDescent="0.2">
      <c r="A24" s="5">
        <v>43479</v>
      </c>
      <c r="B24" s="11">
        <v>72675</v>
      </c>
      <c r="C24" s="11">
        <v>6486</v>
      </c>
      <c r="D24" s="11">
        <v>79161</v>
      </c>
      <c r="F24" s="5">
        <v>44210</v>
      </c>
      <c r="G24" s="11">
        <v>61017</v>
      </c>
      <c r="H24" s="11">
        <v>6931</v>
      </c>
      <c r="I24" s="11">
        <v>67948</v>
      </c>
      <c r="K24" s="5">
        <v>43482</v>
      </c>
      <c r="L24" s="5">
        <v>44210</v>
      </c>
      <c r="M24" s="11">
        <v>-14809</v>
      </c>
      <c r="N24" s="11">
        <v>-445</v>
      </c>
      <c r="O24" s="11">
        <v>-15254</v>
      </c>
      <c r="P24" s="8">
        <v>-0.19530240286972811</v>
      </c>
      <c r="Q24" s="8">
        <v>-6.0330802603036915E-2</v>
      </c>
      <c r="R24" s="12">
        <v>-0.18333693901588899</v>
      </c>
    </row>
    <row r="25" spans="1:18" x14ac:dyDescent="0.2">
      <c r="A25" s="5">
        <v>43480</v>
      </c>
      <c r="B25" s="11">
        <v>70494</v>
      </c>
      <c r="C25" s="11">
        <v>7605</v>
      </c>
      <c r="D25" s="11">
        <v>78099</v>
      </c>
      <c r="F25" s="5">
        <v>44211</v>
      </c>
      <c r="G25" s="11">
        <v>65319</v>
      </c>
      <c r="H25" s="11">
        <v>6114</v>
      </c>
      <c r="I25" s="11">
        <v>71433</v>
      </c>
      <c r="K25" s="5">
        <v>43483</v>
      </c>
      <c r="L25" s="5">
        <v>44211</v>
      </c>
      <c r="M25" s="11">
        <v>-18576</v>
      </c>
      <c r="N25" s="11">
        <v>-581</v>
      </c>
      <c r="O25" s="11">
        <v>-19157</v>
      </c>
      <c r="P25" s="8">
        <v>-0.22141963168246026</v>
      </c>
      <c r="Q25" s="8">
        <v>-8.6781179985063517E-2</v>
      </c>
      <c r="R25" s="12">
        <v>-0.21146925709239428</v>
      </c>
    </row>
    <row r="26" spans="1:18" x14ac:dyDescent="0.2">
      <c r="A26" s="5">
        <v>43481</v>
      </c>
      <c r="B26" s="11">
        <v>61541</v>
      </c>
      <c r="C26" s="11">
        <v>6777</v>
      </c>
      <c r="D26" s="11">
        <v>68318</v>
      </c>
      <c r="F26" s="5">
        <v>44212</v>
      </c>
      <c r="G26" s="11">
        <v>42905</v>
      </c>
      <c r="H26" s="11">
        <v>1308</v>
      </c>
      <c r="I26" s="11">
        <v>44213</v>
      </c>
      <c r="K26" s="5">
        <v>43484</v>
      </c>
      <c r="L26" s="5">
        <v>44212</v>
      </c>
      <c r="M26" s="11">
        <v>-26554</v>
      </c>
      <c r="N26" s="11">
        <v>-368</v>
      </c>
      <c r="O26" s="11">
        <v>-26922</v>
      </c>
      <c r="P26" s="8">
        <v>-0.38229747045019369</v>
      </c>
      <c r="Q26" s="8">
        <v>-0.21957040572792363</v>
      </c>
      <c r="R26" s="12">
        <v>-0.37846348492303372</v>
      </c>
    </row>
    <row r="27" spans="1:18" x14ac:dyDescent="0.2">
      <c r="A27" s="5">
        <v>43482</v>
      </c>
      <c r="B27" s="11">
        <v>75826</v>
      </c>
      <c r="C27" s="11">
        <v>7376</v>
      </c>
      <c r="D27" s="11">
        <v>83202</v>
      </c>
      <c r="F27" s="5">
        <v>44213</v>
      </c>
      <c r="G27" s="11">
        <v>30973</v>
      </c>
      <c r="H27" s="11">
        <v>177</v>
      </c>
      <c r="I27" s="11">
        <v>31150</v>
      </c>
      <c r="K27" s="5">
        <v>43485</v>
      </c>
      <c r="L27" s="5">
        <v>44213</v>
      </c>
      <c r="M27" s="11">
        <v>-24898</v>
      </c>
      <c r="N27" s="11">
        <v>-91</v>
      </c>
      <c r="O27" s="11">
        <v>-24989</v>
      </c>
      <c r="P27" s="8">
        <v>-0.44563369189740654</v>
      </c>
      <c r="Q27" s="8">
        <v>-0.33955223880597019</v>
      </c>
      <c r="R27" s="12">
        <v>-0.44512727337501556</v>
      </c>
    </row>
    <row r="28" spans="1:18" x14ac:dyDescent="0.2">
      <c r="A28" s="5">
        <v>43483</v>
      </c>
      <c r="B28" s="11">
        <v>83895</v>
      </c>
      <c r="C28" s="11">
        <v>6695</v>
      </c>
      <c r="D28" s="11">
        <v>90590</v>
      </c>
      <c r="F28" s="5">
        <v>44214</v>
      </c>
      <c r="G28" s="11">
        <v>59970</v>
      </c>
      <c r="H28" s="11">
        <v>6631</v>
      </c>
      <c r="I28" s="11">
        <v>66601</v>
      </c>
      <c r="K28" s="5">
        <v>43486</v>
      </c>
      <c r="L28" s="5">
        <v>44214</v>
      </c>
      <c r="M28" s="11">
        <v>-13038</v>
      </c>
      <c r="N28" s="11">
        <v>-8</v>
      </c>
      <c r="O28" s="11">
        <v>-13046</v>
      </c>
      <c r="P28" s="8">
        <v>-0.17858316896778437</v>
      </c>
      <c r="Q28" s="8">
        <v>-1.2050007531254625E-3</v>
      </c>
      <c r="R28" s="12">
        <v>-0.16379775760543402</v>
      </c>
    </row>
    <row r="29" spans="1:18" x14ac:dyDescent="0.2">
      <c r="A29" s="5">
        <v>43484</v>
      </c>
      <c r="B29" s="11">
        <v>69459</v>
      </c>
      <c r="C29" s="11">
        <v>1676</v>
      </c>
      <c r="D29" s="11">
        <v>71135</v>
      </c>
      <c r="F29" s="5">
        <v>44215</v>
      </c>
      <c r="G29" s="11">
        <v>60573</v>
      </c>
      <c r="H29" s="11">
        <v>7603</v>
      </c>
      <c r="I29" s="11">
        <v>68176</v>
      </c>
      <c r="K29" s="5">
        <v>43487</v>
      </c>
      <c r="L29" s="5">
        <v>44215</v>
      </c>
      <c r="M29" s="11">
        <v>-8176</v>
      </c>
      <c r="N29" s="11">
        <v>544</v>
      </c>
      <c r="O29" s="11">
        <v>-7632</v>
      </c>
      <c r="P29" s="8">
        <v>-0.11892536618714455</v>
      </c>
      <c r="Q29" s="8">
        <v>7.7064740048165437E-2</v>
      </c>
      <c r="R29" s="12">
        <v>-0.10067539046010976</v>
      </c>
    </row>
    <row r="30" spans="1:18" x14ac:dyDescent="0.2">
      <c r="A30" s="5">
        <v>43485</v>
      </c>
      <c r="B30" s="11">
        <v>55871</v>
      </c>
      <c r="C30" s="11">
        <v>268</v>
      </c>
      <c r="D30" s="11">
        <v>56139</v>
      </c>
      <c r="F30" s="5">
        <v>44216</v>
      </c>
      <c r="G30" s="11">
        <v>60722</v>
      </c>
      <c r="H30" s="11">
        <v>7542</v>
      </c>
      <c r="I30" s="11">
        <v>68264</v>
      </c>
      <c r="K30" s="5">
        <v>43488</v>
      </c>
      <c r="L30" s="5">
        <v>44216</v>
      </c>
      <c r="M30" s="11">
        <v>-12977</v>
      </c>
      <c r="N30" s="11">
        <v>-108</v>
      </c>
      <c r="O30" s="11">
        <v>-13085</v>
      </c>
      <c r="P30" s="8">
        <v>-0.17608108658190746</v>
      </c>
      <c r="Q30" s="8">
        <v>-1.4117647058823568E-2</v>
      </c>
      <c r="R30" s="12">
        <v>-0.16085016410773334</v>
      </c>
    </row>
    <row r="31" spans="1:18" x14ac:dyDescent="0.2">
      <c r="A31" s="5">
        <v>43486</v>
      </c>
      <c r="B31" s="11">
        <v>73008</v>
      </c>
      <c r="C31" s="11">
        <v>6639</v>
      </c>
      <c r="D31" s="11">
        <v>79647</v>
      </c>
      <c r="F31" s="5">
        <v>44217</v>
      </c>
      <c r="G31" s="11">
        <v>60919</v>
      </c>
      <c r="H31" s="11">
        <v>7500</v>
      </c>
      <c r="I31" s="11">
        <v>68419</v>
      </c>
      <c r="K31" s="5">
        <v>43489</v>
      </c>
      <c r="L31" s="5">
        <v>44217</v>
      </c>
      <c r="M31" s="11">
        <v>-15303</v>
      </c>
      <c r="N31" s="11">
        <v>203</v>
      </c>
      <c r="O31" s="11">
        <v>-15100</v>
      </c>
      <c r="P31" s="8">
        <v>-0.20076880690614263</v>
      </c>
      <c r="Q31" s="8">
        <v>2.7819651911744625E-2</v>
      </c>
      <c r="R31" s="12">
        <v>-0.18079718387432797</v>
      </c>
    </row>
    <row r="32" spans="1:18" x14ac:dyDescent="0.2">
      <c r="A32" s="5">
        <v>43487</v>
      </c>
      <c r="B32" s="11">
        <v>68749</v>
      </c>
      <c r="C32" s="11">
        <v>7059</v>
      </c>
      <c r="D32" s="11">
        <v>75808</v>
      </c>
      <c r="F32" s="5">
        <v>44218</v>
      </c>
      <c r="G32" s="11">
        <v>65619</v>
      </c>
      <c r="H32" s="11">
        <v>6891</v>
      </c>
      <c r="I32" s="11">
        <v>72510</v>
      </c>
      <c r="K32" s="5">
        <v>43490</v>
      </c>
      <c r="L32" s="5">
        <v>44218</v>
      </c>
      <c r="M32" s="11">
        <v>-20098</v>
      </c>
      <c r="N32" s="11">
        <v>240</v>
      </c>
      <c r="O32" s="11">
        <v>-19858</v>
      </c>
      <c r="P32" s="8">
        <v>-0.23446924180734274</v>
      </c>
      <c r="Q32" s="8">
        <v>3.6084799278303992E-2</v>
      </c>
      <c r="R32" s="12">
        <v>-0.21498787458860213</v>
      </c>
    </row>
    <row r="33" spans="1:57" x14ac:dyDescent="0.2">
      <c r="A33" s="5">
        <v>43488</v>
      </c>
      <c r="B33" s="11">
        <v>73699</v>
      </c>
      <c r="C33" s="11">
        <v>7650</v>
      </c>
      <c r="D33" s="11">
        <v>81349</v>
      </c>
      <c r="F33" s="5">
        <v>44219</v>
      </c>
      <c r="G33" s="11">
        <v>45266</v>
      </c>
      <c r="H33" s="11">
        <v>1516</v>
      </c>
      <c r="I33" s="11">
        <v>46782</v>
      </c>
      <c r="K33" s="5">
        <v>43491</v>
      </c>
      <c r="L33" s="5">
        <v>44219</v>
      </c>
      <c r="M33" s="11">
        <v>-31985</v>
      </c>
      <c r="N33" s="11">
        <v>-351</v>
      </c>
      <c r="O33" s="11">
        <v>-32336</v>
      </c>
      <c r="P33" s="8">
        <v>-0.41403994770294239</v>
      </c>
      <c r="Q33" s="8">
        <v>-0.18800214247455815</v>
      </c>
      <c r="R33" s="12">
        <v>-0.40870598346773179</v>
      </c>
    </row>
    <row r="34" spans="1:57" x14ac:dyDescent="0.2">
      <c r="A34" s="5">
        <v>43489</v>
      </c>
      <c r="B34" s="11">
        <v>76222</v>
      </c>
      <c r="C34" s="11">
        <v>7297</v>
      </c>
      <c r="D34" s="11">
        <v>83519</v>
      </c>
      <c r="F34" s="5">
        <v>44220</v>
      </c>
      <c r="G34" s="11">
        <v>35503</v>
      </c>
      <c r="H34" s="11">
        <v>166</v>
      </c>
      <c r="I34" s="11">
        <v>35669</v>
      </c>
      <c r="K34" s="5">
        <v>43492</v>
      </c>
      <c r="L34" s="5">
        <v>44220</v>
      </c>
      <c r="M34" s="11">
        <v>-23478</v>
      </c>
      <c r="N34" s="11">
        <v>-159</v>
      </c>
      <c r="O34" s="11">
        <v>-23637</v>
      </c>
      <c r="P34" s="8">
        <v>-0.39806039232973334</v>
      </c>
      <c r="Q34" s="8">
        <v>-0.48923076923076925</v>
      </c>
      <c r="R34" s="12">
        <v>-0.39856001079148817</v>
      </c>
    </row>
    <row r="35" spans="1:57" x14ac:dyDescent="0.2">
      <c r="A35" s="5">
        <v>43490</v>
      </c>
      <c r="B35" s="11">
        <v>85717</v>
      </c>
      <c r="C35" s="11">
        <v>6651</v>
      </c>
      <c r="D35" s="11">
        <v>92368</v>
      </c>
      <c r="F35" s="5">
        <v>44221</v>
      </c>
      <c r="G35" s="11">
        <v>59701</v>
      </c>
      <c r="H35" s="11">
        <v>7143</v>
      </c>
      <c r="I35" s="11">
        <v>66844</v>
      </c>
      <c r="K35" s="5">
        <v>43493</v>
      </c>
      <c r="L35" s="5">
        <v>44221</v>
      </c>
      <c r="M35" s="11">
        <f>G35-B38</f>
        <v>-14057</v>
      </c>
      <c r="N35" s="11">
        <f t="shared" ref="N35:O41" si="0">H35-C38</f>
        <v>339</v>
      </c>
      <c r="O35" s="11">
        <f t="shared" si="0"/>
        <v>-13718</v>
      </c>
      <c r="P35" s="8">
        <f>G35/B38-1</f>
        <v>-0.19058271645109681</v>
      </c>
      <c r="Q35" s="8">
        <f t="shared" ref="Q35:R41" si="1">H35/C38-1</f>
        <v>4.9823633156966585E-2</v>
      </c>
      <c r="R35" s="12">
        <f t="shared" si="1"/>
        <v>-0.17027879148978431</v>
      </c>
    </row>
    <row r="36" spans="1:57" x14ac:dyDescent="0.2">
      <c r="A36" s="5">
        <v>43491</v>
      </c>
      <c r="B36" s="11">
        <v>77251</v>
      </c>
      <c r="C36" s="11">
        <v>1867</v>
      </c>
      <c r="D36" s="11">
        <v>79118</v>
      </c>
      <c r="F36" s="5">
        <v>44222</v>
      </c>
      <c r="G36" s="11">
        <v>61684</v>
      </c>
      <c r="H36" s="11">
        <v>7779</v>
      </c>
      <c r="I36" s="11">
        <v>69463</v>
      </c>
      <c r="K36" s="5">
        <v>43494</v>
      </c>
      <c r="L36" s="5">
        <v>44222</v>
      </c>
      <c r="M36" s="11">
        <f t="shared" ref="M36:M41" si="2">G36-B39</f>
        <v>-11831</v>
      </c>
      <c r="N36" s="11">
        <f t="shared" si="0"/>
        <v>241</v>
      </c>
      <c r="O36" s="11">
        <f t="shared" si="0"/>
        <v>-11590</v>
      </c>
      <c r="P36" s="8">
        <f t="shared" ref="P36:P41" si="3">G36/B39-1</f>
        <v>-0.16093314289600757</v>
      </c>
      <c r="Q36" s="8">
        <f t="shared" si="1"/>
        <v>3.1971345184399036E-2</v>
      </c>
      <c r="R36" s="12">
        <f t="shared" si="1"/>
        <v>-0.14299285652597682</v>
      </c>
    </row>
    <row r="37" spans="1:57" x14ac:dyDescent="0.2">
      <c r="A37" s="5">
        <v>43492</v>
      </c>
      <c r="B37" s="11">
        <v>58981</v>
      </c>
      <c r="C37" s="11">
        <v>325</v>
      </c>
      <c r="D37" s="11">
        <v>59306</v>
      </c>
      <c r="F37" s="5">
        <v>44223</v>
      </c>
      <c r="G37" s="11">
        <v>59990</v>
      </c>
      <c r="H37" s="11">
        <v>7235</v>
      </c>
      <c r="I37" s="11">
        <v>67225</v>
      </c>
      <c r="K37" s="5">
        <v>43495</v>
      </c>
      <c r="L37" s="5">
        <v>44223</v>
      </c>
      <c r="M37" s="11">
        <f t="shared" si="2"/>
        <v>-16528</v>
      </c>
      <c r="N37" s="11">
        <f t="shared" si="0"/>
        <v>-441</v>
      </c>
      <c r="O37" s="11">
        <f t="shared" si="0"/>
        <v>-16969</v>
      </c>
      <c r="P37" s="8">
        <f t="shared" si="3"/>
        <v>-0.21600146370788575</v>
      </c>
      <c r="Q37" s="8">
        <f t="shared" si="1"/>
        <v>-5.7451797811360117E-2</v>
      </c>
      <c r="R37" s="12">
        <f t="shared" si="1"/>
        <v>-0.20154642848659055</v>
      </c>
    </row>
    <row r="38" spans="1:57" x14ac:dyDescent="0.2">
      <c r="A38" s="5">
        <v>43493</v>
      </c>
      <c r="B38" s="11">
        <v>73758</v>
      </c>
      <c r="C38" s="11">
        <v>6804</v>
      </c>
      <c r="D38" s="11">
        <v>80562</v>
      </c>
      <c r="F38" s="5">
        <v>44224</v>
      </c>
      <c r="G38" s="11">
        <v>62240</v>
      </c>
      <c r="H38" s="11">
        <v>7353</v>
      </c>
      <c r="I38" s="11">
        <v>69593</v>
      </c>
      <c r="K38" s="5">
        <v>43496</v>
      </c>
      <c r="L38" s="5">
        <v>44224</v>
      </c>
      <c r="M38" s="11">
        <f t="shared" si="2"/>
        <v>-15421</v>
      </c>
      <c r="N38" s="11">
        <f t="shared" si="0"/>
        <v>248</v>
      </c>
      <c r="O38" s="11">
        <f t="shared" si="0"/>
        <v>-15173</v>
      </c>
      <c r="P38" s="8">
        <f t="shared" si="3"/>
        <v>-0.19856813587257438</v>
      </c>
      <c r="Q38" s="8">
        <f t="shared" si="1"/>
        <v>3.4904996481351258E-2</v>
      </c>
      <c r="R38" s="12">
        <f t="shared" si="1"/>
        <v>-0.17899865512115709</v>
      </c>
    </row>
    <row r="39" spans="1:57" x14ac:dyDescent="0.2">
      <c r="A39" s="5">
        <v>43494</v>
      </c>
      <c r="B39" s="11">
        <v>73515</v>
      </c>
      <c r="C39" s="11">
        <v>7538</v>
      </c>
      <c r="D39" s="11">
        <v>81053</v>
      </c>
      <c r="F39" s="5">
        <v>44225</v>
      </c>
      <c r="G39" s="11">
        <v>68652</v>
      </c>
      <c r="H39" s="11">
        <v>7021</v>
      </c>
      <c r="I39" s="11">
        <v>75673</v>
      </c>
      <c r="K39" s="5">
        <v>43497</v>
      </c>
      <c r="L39" s="5">
        <v>44225</v>
      </c>
      <c r="M39" s="11">
        <f t="shared" si="2"/>
        <v>-13784</v>
      </c>
      <c r="N39" s="11">
        <f t="shared" si="0"/>
        <v>829</v>
      </c>
      <c r="O39" s="11">
        <f t="shared" si="0"/>
        <v>-12955</v>
      </c>
      <c r="P39" s="8">
        <f t="shared" si="3"/>
        <v>-0.16720850114027852</v>
      </c>
      <c r="Q39" s="8">
        <f t="shared" si="1"/>
        <v>0.13388242894056845</v>
      </c>
      <c r="R39" s="12">
        <f t="shared" si="1"/>
        <v>-0.1461727670713544</v>
      </c>
    </row>
    <row r="40" spans="1:57" x14ac:dyDescent="0.2">
      <c r="A40" s="5">
        <v>43495</v>
      </c>
      <c r="B40" s="11">
        <v>76518</v>
      </c>
      <c r="C40" s="11">
        <v>7676</v>
      </c>
      <c r="D40" s="11">
        <v>84194</v>
      </c>
      <c r="F40" s="5">
        <v>44226</v>
      </c>
      <c r="G40" s="11">
        <v>47448</v>
      </c>
      <c r="H40" s="11">
        <v>1400</v>
      </c>
      <c r="I40" s="11">
        <v>48848</v>
      </c>
      <c r="K40" s="5">
        <v>43498</v>
      </c>
      <c r="L40" s="5">
        <v>44226</v>
      </c>
      <c r="M40" s="11">
        <f t="shared" si="2"/>
        <v>-29225</v>
      </c>
      <c r="N40" s="11">
        <f t="shared" si="0"/>
        <v>-356</v>
      </c>
      <c r="O40" s="11">
        <f t="shared" si="0"/>
        <v>-29581</v>
      </c>
      <c r="P40" s="8">
        <f t="shared" si="3"/>
        <v>-0.38116416469943792</v>
      </c>
      <c r="Q40" s="8">
        <f t="shared" si="1"/>
        <v>-0.20273348519362189</v>
      </c>
      <c r="R40" s="12">
        <f t="shared" si="1"/>
        <v>-0.37716915936707085</v>
      </c>
    </row>
    <row r="41" spans="1:57" x14ac:dyDescent="0.2">
      <c r="A41" s="5">
        <v>43496</v>
      </c>
      <c r="B41" s="11">
        <v>77661</v>
      </c>
      <c r="C41" s="11">
        <v>7105</v>
      </c>
      <c r="D41" s="11">
        <v>84766</v>
      </c>
      <c r="F41" s="5">
        <v>44227</v>
      </c>
      <c r="G41" s="11">
        <v>34253</v>
      </c>
      <c r="H41" s="11">
        <v>138</v>
      </c>
      <c r="I41" s="11">
        <v>34391</v>
      </c>
      <c r="K41" s="5">
        <v>43499</v>
      </c>
      <c r="L41" s="5">
        <v>44227</v>
      </c>
      <c r="M41" s="11">
        <f t="shared" si="2"/>
        <v>-20720</v>
      </c>
      <c r="N41" s="11">
        <f t="shared" si="0"/>
        <v>-163</v>
      </c>
      <c r="O41" s="11">
        <f t="shared" si="0"/>
        <v>-20883</v>
      </c>
      <c r="P41" s="8">
        <f t="shared" si="3"/>
        <v>-0.37691230240299789</v>
      </c>
      <c r="Q41" s="8">
        <f t="shared" si="1"/>
        <v>-0.5415282392026578</v>
      </c>
      <c r="R41" s="12">
        <f t="shared" si="1"/>
        <v>-0.37780873466729381</v>
      </c>
    </row>
    <row r="42" spans="1:57" x14ac:dyDescent="0.2">
      <c r="A42" s="5">
        <v>43497</v>
      </c>
      <c r="B42" s="11">
        <v>82436</v>
      </c>
      <c r="C42" s="11">
        <v>6192</v>
      </c>
      <c r="D42" s="11">
        <v>88628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57" x14ac:dyDescent="0.2">
      <c r="A43" s="5">
        <v>43498</v>
      </c>
      <c r="B43" s="11">
        <v>76673</v>
      </c>
      <c r="C43" s="11">
        <v>1756</v>
      </c>
      <c r="D43" s="11">
        <v>78429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57" x14ac:dyDescent="0.2">
      <c r="A44" s="5">
        <v>43499</v>
      </c>
      <c r="B44" s="11">
        <v>54973</v>
      </c>
      <c r="C44" s="11">
        <v>301</v>
      </c>
      <c r="D44" s="11">
        <v>55274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57" x14ac:dyDescent="0.2">
      <c r="A45" s="5"/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  <c r="BC45">
        <v>0</v>
      </c>
      <c r="BD45">
        <v>0</v>
      </c>
      <c r="BE45">
        <v>0</v>
      </c>
    </row>
    <row r="46" spans="1:57" x14ac:dyDescent="0.2">
      <c r="A46" s="1"/>
      <c r="B46" s="2"/>
      <c r="C46" s="2"/>
      <c r="D46" s="2"/>
      <c r="F46" s="1"/>
      <c r="G46" s="2"/>
      <c r="H46" s="2"/>
      <c r="I46" s="2"/>
      <c r="BC46">
        <v>0</v>
      </c>
      <c r="BD46">
        <v>0</v>
      </c>
      <c r="BE46">
        <v>0</v>
      </c>
    </row>
    <row r="47" spans="1:57" ht="12.95" customHeight="1" x14ac:dyDescent="0.2">
      <c r="A47" s="23" t="s">
        <v>12</v>
      </c>
      <c r="B47" s="6"/>
      <c r="C47" s="6"/>
      <c r="D47" s="3"/>
      <c r="F47" s="23" t="s">
        <v>12</v>
      </c>
      <c r="G47" s="6"/>
      <c r="H47" s="6"/>
      <c r="I47" s="3"/>
      <c r="K47" s="23" t="s">
        <v>13</v>
      </c>
      <c r="L47" s="23"/>
      <c r="M47" s="6"/>
      <c r="N47" s="6"/>
      <c r="O47" s="3"/>
      <c r="P47" s="6"/>
      <c r="Q47" s="6"/>
      <c r="R47" s="3"/>
      <c r="BC47">
        <v>0</v>
      </c>
      <c r="BD47">
        <v>0</v>
      </c>
      <c r="BE47">
        <v>0</v>
      </c>
    </row>
    <row r="48" spans="1:57" ht="26.45" customHeight="1" x14ac:dyDescent="0.2">
      <c r="A48" s="24"/>
      <c r="B48" s="7" t="s">
        <v>38</v>
      </c>
      <c r="C48" s="4" t="s">
        <v>2</v>
      </c>
      <c r="D48" s="4" t="s">
        <v>0</v>
      </c>
      <c r="F48" s="24"/>
      <c r="G48" s="7" t="s">
        <v>38</v>
      </c>
      <c r="H48" s="4" t="s">
        <v>2</v>
      </c>
      <c r="I48" s="4" t="s">
        <v>0</v>
      </c>
      <c r="K48" s="24"/>
      <c r="L48" s="24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  <c r="BC48">
        <v>0</v>
      </c>
      <c r="BD48">
        <v>0</v>
      </c>
      <c r="BE48">
        <v>0</v>
      </c>
    </row>
    <row r="49" spans="1:18" x14ac:dyDescent="0.2">
      <c r="A49" s="5">
        <v>43466</v>
      </c>
      <c r="B49" s="11">
        <v>25968</v>
      </c>
      <c r="C49" s="11">
        <v>134</v>
      </c>
      <c r="D49" s="11">
        <v>26102</v>
      </c>
      <c r="F49" s="5">
        <v>44197</v>
      </c>
      <c r="G49" s="11">
        <v>13555</v>
      </c>
      <c r="H49" s="11">
        <v>76</v>
      </c>
      <c r="I49" s="11">
        <v>13631</v>
      </c>
      <c r="K49" s="5">
        <v>43469</v>
      </c>
      <c r="L49" s="5">
        <v>44197</v>
      </c>
      <c r="M49" s="11">
        <v>-25975</v>
      </c>
      <c r="N49" s="11">
        <v>-2086</v>
      </c>
      <c r="O49" s="11">
        <v>-28061</v>
      </c>
      <c r="P49" s="8">
        <v>-0.65709587654945611</v>
      </c>
      <c r="Q49" s="8">
        <v>-0.96484736355226641</v>
      </c>
      <c r="R49" s="12">
        <v>-0.67305478269212315</v>
      </c>
    </row>
    <row r="50" spans="1:18" x14ac:dyDescent="0.2">
      <c r="A50" s="5">
        <v>43467</v>
      </c>
      <c r="B50" s="11">
        <v>41330</v>
      </c>
      <c r="C50" s="11">
        <v>1207</v>
      </c>
      <c r="D50" s="11">
        <v>42537</v>
      </c>
      <c r="F50" s="5">
        <v>44198</v>
      </c>
      <c r="G50" s="11">
        <v>21803</v>
      </c>
      <c r="H50" s="11">
        <v>196</v>
      </c>
      <c r="I50" s="11">
        <v>21999</v>
      </c>
      <c r="K50" s="5">
        <v>43470</v>
      </c>
      <c r="L50" s="5">
        <v>44198</v>
      </c>
      <c r="M50" s="11">
        <v>-15035</v>
      </c>
      <c r="N50" s="11">
        <v>-432</v>
      </c>
      <c r="O50" s="11">
        <v>-15467</v>
      </c>
      <c r="P50" s="8">
        <v>-0.40813833541451761</v>
      </c>
      <c r="Q50" s="8">
        <v>-0.68789808917197459</v>
      </c>
      <c r="R50" s="12">
        <v>-0.41282763038488224</v>
      </c>
    </row>
    <row r="51" spans="1:18" x14ac:dyDescent="0.2">
      <c r="A51" s="5">
        <v>43468</v>
      </c>
      <c r="B51" s="11">
        <v>38753</v>
      </c>
      <c r="C51" s="11">
        <v>2260</v>
      </c>
      <c r="D51" s="11">
        <v>41013</v>
      </c>
      <c r="F51" s="5">
        <v>44199</v>
      </c>
      <c r="G51" s="11">
        <v>20919</v>
      </c>
      <c r="H51" s="11">
        <v>83</v>
      </c>
      <c r="I51" s="11">
        <v>21002</v>
      </c>
      <c r="K51" s="5">
        <v>43471</v>
      </c>
      <c r="L51" s="5">
        <v>44199</v>
      </c>
      <c r="M51" s="11">
        <v>-8726</v>
      </c>
      <c r="N51" s="11">
        <v>-93</v>
      </c>
      <c r="O51" s="11">
        <v>-8819</v>
      </c>
      <c r="P51" s="8">
        <v>-0.29434980603811778</v>
      </c>
      <c r="Q51" s="8">
        <v>-0.52840909090909083</v>
      </c>
      <c r="R51" s="12">
        <v>-0.29573119613695042</v>
      </c>
    </row>
    <row r="52" spans="1:18" x14ac:dyDescent="0.2">
      <c r="A52" s="5">
        <v>43469</v>
      </c>
      <c r="B52" s="11">
        <v>39530</v>
      </c>
      <c r="C52" s="11">
        <v>2162</v>
      </c>
      <c r="D52" s="11">
        <v>41692</v>
      </c>
      <c r="F52" s="5">
        <v>44200</v>
      </c>
      <c r="G52" s="11">
        <v>30447</v>
      </c>
      <c r="H52" s="11">
        <v>2063</v>
      </c>
      <c r="I52" s="11">
        <v>32510</v>
      </c>
      <c r="K52" s="5">
        <v>43472</v>
      </c>
      <c r="L52" s="5">
        <v>44200</v>
      </c>
      <c r="M52" s="11">
        <v>-6637</v>
      </c>
      <c r="N52" s="11">
        <v>-916</v>
      </c>
      <c r="O52" s="11">
        <v>-7553</v>
      </c>
      <c r="P52" s="8">
        <v>-0.17897206342357885</v>
      </c>
      <c r="Q52" s="8">
        <v>-0.30748573346760655</v>
      </c>
      <c r="R52" s="12">
        <v>-0.1885280682924394</v>
      </c>
    </row>
    <row r="53" spans="1:18" x14ac:dyDescent="0.2">
      <c r="A53" s="5">
        <v>43470</v>
      </c>
      <c r="B53" s="11">
        <v>36838</v>
      </c>
      <c r="C53" s="11">
        <v>628</v>
      </c>
      <c r="D53" s="11">
        <v>37466</v>
      </c>
      <c r="F53" s="5">
        <v>44201</v>
      </c>
      <c r="G53" s="11">
        <v>29541</v>
      </c>
      <c r="H53" s="11">
        <v>2585</v>
      </c>
      <c r="I53" s="11">
        <v>32126</v>
      </c>
      <c r="K53" s="5">
        <v>43473</v>
      </c>
      <c r="L53" s="5">
        <v>44201</v>
      </c>
      <c r="M53" s="11">
        <v>-6329</v>
      </c>
      <c r="N53" s="11">
        <v>-719</v>
      </c>
      <c r="O53" s="11">
        <v>-7048</v>
      </c>
      <c r="P53" s="8">
        <v>-0.17644270978533594</v>
      </c>
      <c r="Q53" s="8">
        <v>-0.21761501210653755</v>
      </c>
      <c r="R53" s="12">
        <v>-0.179915249910655</v>
      </c>
    </row>
    <row r="54" spans="1:18" x14ac:dyDescent="0.2">
      <c r="A54" s="5">
        <v>43471</v>
      </c>
      <c r="B54" s="11">
        <v>29645</v>
      </c>
      <c r="C54" s="11">
        <v>176</v>
      </c>
      <c r="D54" s="11">
        <v>29821</v>
      </c>
      <c r="F54" s="5">
        <v>44202</v>
      </c>
      <c r="G54" s="11">
        <v>29224</v>
      </c>
      <c r="H54" s="11">
        <v>2665</v>
      </c>
      <c r="I54" s="11">
        <v>31889</v>
      </c>
      <c r="K54" s="5">
        <v>43474</v>
      </c>
      <c r="L54" s="5">
        <v>44202</v>
      </c>
      <c r="M54" s="11">
        <v>-6852</v>
      </c>
      <c r="N54" s="11">
        <v>-832</v>
      </c>
      <c r="O54" s="11">
        <v>-7684</v>
      </c>
      <c r="P54" s="8">
        <v>-0.189932365007207</v>
      </c>
      <c r="Q54" s="8">
        <v>-0.23791821561338289</v>
      </c>
      <c r="R54" s="12">
        <v>-0.19417279458216463</v>
      </c>
    </row>
    <row r="55" spans="1:18" x14ac:dyDescent="0.2">
      <c r="A55" s="5">
        <v>43472</v>
      </c>
      <c r="B55" s="11">
        <v>37084</v>
      </c>
      <c r="C55" s="11">
        <v>2979</v>
      </c>
      <c r="D55" s="11">
        <v>40063</v>
      </c>
      <c r="F55" s="5">
        <v>44203</v>
      </c>
      <c r="G55" s="11">
        <v>31040</v>
      </c>
      <c r="H55" s="11">
        <v>3033</v>
      </c>
      <c r="I55" s="11">
        <v>34073</v>
      </c>
      <c r="K55" s="5">
        <v>43475</v>
      </c>
      <c r="L55" s="5">
        <v>44203</v>
      </c>
      <c r="M55" s="11">
        <v>-6031</v>
      </c>
      <c r="N55" s="11">
        <v>-408</v>
      </c>
      <c r="O55" s="11">
        <v>-6439</v>
      </c>
      <c r="P55" s="8">
        <v>-0.16268781527339427</v>
      </c>
      <c r="Q55" s="8">
        <v>-0.11857018308631206</v>
      </c>
      <c r="R55" s="12">
        <v>-0.158940560821485</v>
      </c>
    </row>
    <row r="56" spans="1:18" x14ac:dyDescent="0.2">
      <c r="A56" s="5">
        <v>43473</v>
      </c>
      <c r="B56" s="11">
        <v>35870</v>
      </c>
      <c r="C56" s="11">
        <v>3304</v>
      </c>
      <c r="D56" s="11">
        <v>39174</v>
      </c>
      <c r="F56" s="5">
        <v>44204</v>
      </c>
      <c r="G56" s="11">
        <v>32263</v>
      </c>
      <c r="H56" s="11">
        <v>2457</v>
      </c>
      <c r="I56" s="11">
        <v>34720</v>
      </c>
      <c r="K56" s="5">
        <v>43476</v>
      </c>
      <c r="L56" s="5">
        <v>44204</v>
      </c>
      <c r="M56" s="11">
        <v>-7851</v>
      </c>
      <c r="N56" s="11">
        <v>-524</v>
      </c>
      <c r="O56" s="11">
        <v>-8375</v>
      </c>
      <c r="P56" s="8">
        <v>-0.19571720596300546</v>
      </c>
      <c r="Q56" s="8">
        <v>-0.17577993961757798</v>
      </c>
      <c r="R56" s="12">
        <v>-0.19433809026569204</v>
      </c>
    </row>
    <row r="57" spans="1:18" x14ac:dyDescent="0.2">
      <c r="A57" s="5">
        <v>43474</v>
      </c>
      <c r="B57" s="11">
        <v>36076</v>
      </c>
      <c r="C57" s="11">
        <v>3497</v>
      </c>
      <c r="D57" s="11">
        <v>39573</v>
      </c>
      <c r="F57" s="5">
        <v>44205</v>
      </c>
      <c r="G57" s="11">
        <v>23709</v>
      </c>
      <c r="H57" s="11">
        <v>563</v>
      </c>
      <c r="I57" s="11">
        <v>24272</v>
      </c>
      <c r="K57" s="5">
        <v>43477</v>
      </c>
      <c r="L57" s="5">
        <v>44205</v>
      </c>
      <c r="M57" s="11">
        <v>-10771</v>
      </c>
      <c r="N57" s="11">
        <v>-166</v>
      </c>
      <c r="O57" s="11">
        <v>-10937</v>
      </c>
      <c r="P57" s="8">
        <v>-0.31238399071925749</v>
      </c>
      <c r="Q57" s="8">
        <v>-0.22770919067215367</v>
      </c>
      <c r="R57" s="12">
        <v>-0.31063080462381776</v>
      </c>
    </row>
    <row r="58" spans="1:18" x14ac:dyDescent="0.2">
      <c r="A58" s="5">
        <v>43475</v>
      </c>
      <c r="B58" s="11">
        <v>37071</v>
      </c>
      <c r="C58" s="11">
        <v>3441</v>
      </c>
      <c r="D58" s="11">
        <v>40512</v>
      </c>
      <c r="F58" s="5">
        <v>44206</v>
      </c>
      <c r="G58" s="11">
        <v>20158</v>
      </c>
      <c r="H58" s="11">
        <v>119</v>
      </c>
      <c r="I58" s="11">
        <v>20277</v>
      </c>
      <c r="K58" s="5">
        <v>43478</v>
      </c>
      <c r="L58" s="5">
        <v>44206</v>
      </c>
      <c r="M58" s="11">
        <v>-7303</v>
      </c>
      <c r="N58" s="11">
        <v>-13</v>
      </c>
      <c r="O58" s="11">
        <v>-7316</v>
      </c>
      <c r="P58" s="8">
        <v>-0.26594078875496163</v>
      </c>
      <c r="Q58" s="8">
        <v>-9.8484848484848508E-2</v>
      </c>
      <c r="R58" s="12">
        <v>-0.26513970934657338</v>
      </c>
    </row>
    <row r="59" spans="1:18" x14ac:dyDescent="0.2">
      <c r="A59" s="5">
        <v>43476</v>
      </c>
      <c r="B59" s="11">
        <v>40114</v>
      </c>
      <c r="C59" s="11">
        <v>2981</v>
      </c>
      <c r="D59" s="11">
        <v>43095</v>
      </c>
      <c r="F59" s="5">
        <v>44207</v>
      </c>
      <c r="G59" s="11">
        <v>32654</v>
      </c>
      <c r="H59" s="11">
        <v>3224</v>
      </c>
      <c r="I59" s="11">
        <v>35878</v>
      </c>
      <c r="K59" s="5">
        <v>43479</v>
      </c>
      <c r="L59" s="5">
        <v>44207</v>
      </c>
      <c r="M59" s="11">
        <v>-4726</v>
      </c>
      <c r="N59" s="11">
        <v>-168</v>
      </c>
      <c r="O59" s="11">
        <v>-4894</v>
      </c>
      <c r="P59" s="8">
        <v>-0.12643124665596572</v>
      </c>
      <c r="Q59" s="8">
        <v>-4.952830188679247E-2</v>
      </c>
      <c r="R59" s="12">
        <v>-0.12003335622486022</v>
      </c>
    </row>
    <row r="60" spans="1:18" x14ac:dyDescent="0.2">
      <c r="A60" s="5">
        <v>43477</v>
      </c>
      <c r="B60" s="11">
        <v>34480</v>
      </c>
      <c r="C60" s="11">
        <v>729</v>
      </c>
      <c r="D60" s="11">
        <v>35209</v>
      </c>
      <c r="F60" s="5">
        <v>44208</v>
      </c>
      <c r="G60" s="11">
        <v>32288</v>
      </c>
      <c r="H60" s="11">
        <v>3506</v>
      </c>
      <c r="I60" s="11">
        <v>35794</v>
      </c>
      <c r="K60" s="5">
        <v>43480</v>
      </c>
      <c r="L60" s="5">
        <v>44208</v>
      </c>
      <c r="M60" s="11">
        <v>-3343</v>
      </c>
      <c r="N60" s="11">
        <v>-259</v>
      </c>
      <c r="O60" s="11">
        <v>-3602</v>
      </c>
      <c r="P60" s="8">
        <v>-9.3822794757374206E-2</v>
      </c>
      <c r="Q60" s="8">
        <v>-6.879150066401063E-2</v>
      </c>
      <c r="R60" s="12">
        <v>-9.1430602091582935E-2</v>
      </c>
    </row>
    <row r="61" spans="1:18" x14ac:dyDescent="0.2">
      <c r="A61" s="5">
        <v>43478</v>
      </c>
      <c r="B61" s="11">
        <v>27461</v>
      </c>
      <c r="C61" s="11">
        <v>132</v>
      </c>
      <c r="D61" s="11">
        <v>27593</v>
      </c>
      <c r="F61" s="5">
        <v>44209</v>
      </c>
      <c r="G61" s="11">
        <v>31504</v>
      </c>
      <c r="H61" s="11">
        <v>3441</v>
      </c>
      <c r="I61" s="11">
        <v>34945</v>
      </c>
      <c r="K61" s="5">
        <v>43481</v>
      </c>
      <c r="L61" s="5">
        <v>44209</v>
      </c>
      <c r="M61" s="11">
        <v>2242</v>
      </c>
      <c r="N61" s="11">
        <v>248</v>
      </c>
      <c r="O61" s="11">
        <v>2490</v>
      </c>
      <c r="P61" s="8">
        <v>7.6618139566673404E-2</v>
      </c>
      <c r="Q61" s="8">
        <v>7.7669902912621325E-2</v>
      </c>
      <c r="R61" s="12">
        <v>7.672161454321369E-2</v>
      </c>
    </row>
    <row r="62" spans="1:18" x14ac:dyDescent="0.2">
      <c r="A62" s="5">
        <v>43479</v>
      </c>
      <c r="B62" s="11">
        <v>37380</v>
      </c>
      <c r="C62" s="11">
        <v>3392</v>
      </c>
      <c r="D62" s="11">
        <v>40772</v>
      </c>
      <c r="F62" s="5">
        <v>44210</v>
      </c>
      <c r="G62" s="11">
        <v>30584</v>
      </c>
      <c r="H62" s="11">
        <v>3371</v>
      </c>
      <c r="I62" s="11">
        <v>33955</v>
      </c>
      <c r="K62" s="5">
        <v>43482</v>
      </c>
      <c r="L62" s="5">
        <v>44210</v>
      </c>
      <c r="M62" s="11">
        <v>-7752</v>
      </c>
      <c r="N62" s="11">
        <v>-289</v>
      </c>
      <c r="O62" s="11">
        <v>-8041</v>
      </c>
      <c r="P62" s="8">
        <v>-0.20221202003338901</v>
      </c>
      <c r="Q62" s="8">
        <v>-7.8961748633879836E-2</v>
      </c>
      <c r="R62" s="12">
        <v>-0.19147061624916661</v>
      </c>
    </row>
    <row r="63" spans="1:18" x14ac:dyDescent="0.2">
      <c r="A63" s="5">
        <v>43480</v>
      </c>
      <c r="B63" s="11">
        <v>35631</v>
      </c>
      <c r="C63" s="11">
        <v>3765</v>
      </c>
      <c r="D63" s="11">
        <v>39396</v>
      </c>
      <c r="F63" s="5">
        <v>44211</v>
      </c>
      <c r="G63" s="11">
        <v>33459</v>
      </c>
      <c r="H63" s="11">
        <v>2903</v>
      </c>
      <c r="I63" s="11">
        <v>36362</v>
      </c>
      <c r="K63" s="5">
        <v>43483</v>
      </c>
      <c r="L63" s="5">
        <v>44211</v>
      </c>
      <c r="M63" s="11">
        <v>-8523</v>
      </c>
      <c r="N63" s="11">
        <v>-217</v>
      </c>
      <c r="O63" s="11">
        <v>-8740</v>
      </c>
      <c r="P63" s="8">
        <v>-0.20301557810490212</v>
      </c>
      <c r="Q63" s="8">
        <v>-6.9551282051282026E-2</v>
      </c>
      <c r="R63" s="12">
        <v>-0.19378298079907763</v>
      </c>
    </row>
    <row r="64" spans="1:18" x14ac:dyDescent="0.2">
      <c r="A64" s="5">
        <v>43481</v>
      </c>
      <c r="B64" s="11">
        <v>29262</v>
      </c>
      <c r="C64" s="11">
        <v>3193</v>
      </c>
      <c r="D64" s="11">
        <v>32455</v>
      </c>
      <c r="F64" s="5">
        <v>44212</v>
      </c>
      <c r="G64" s="11">
        <v>21576</v>
      </c>
      <c r="H64" s="11">
        <v>490</v>
      </c>
      <c r="I64" s="11">
        <v>22066</v>
      </c>
      <c r="K64" s="5">
        <v>43484</v>
      </c>
      <c r="L64" s="5">
        <v>44212</v>
      </c>
      <c r="M64" s="11">
        <v>-11349</v>
      </c>
      <c r="N64" s="11">
        <v>-237</v>
      </c>
      <c r="O64" s="11">
        <v>-11586</v>
      </c>
      <c r="P64" s="8">
        <v>-0.34469248291571752</v>
      </c>
      <c r="Q64" s="8">
        <v>-0.32599724896836313</v>
      </c>
      <c r="R64" s="12">
        <v>-0.34428860097468206</v>
      </c>
    </row>
    <row r="65" spans="1:18" x14ac:dyDescent="0.2">
      <c r="A65" s="5">
        <v>43482</v>
      </c>
      <c r="B65" s="11">
        <v>38336</v>
      </c>
      <c r="C65" s="11">
        <v>3660</v>
      </c>
      <c r="D65" s="11">
        <v>41996</v>
      </c>
      <c r="F65" s="5">
        <v>44213</v>
      </c>
      <c r="G65" s="11">
        <v>16146</v>
      </c>
      <c r="H65" s="11">
        <v>115</v>
      </c>
      <c r="I65" s="11">
        <v>16261</v>
      </c>
      <c r="K65" s="5">
        <v>43485</v>
      </c>
      <c r="L65" s="5">
        <v>44213</v>
      </c>
      <c r="M65" s="11">
        <v>-12313</v>
      </c>
      <c r="N65" s="11">
        <v>-33</v>
      </c>
      <c r="O65" s="11">
        <v>-12346</v>
      </c>
      <c r="P65" s="8">
        <v>-0.43265750729119079</v>
      </c>
      <c r="Q65" s="8">
        <v>-0.22297297297297303</v>
      </c>
      <c r="R65" s="12">
        <v>-0.43157269199846193</v>
      </c>
    </row>
    <row r="66" spans="1:18" x14ac:dyDescent="0.2">
      <c r="A66" s="5">
        <v>43483</v>
      </c>
      <c r="B66" s="11">
        <v>41982</v>
      </c>
      <c r="C66" s="11">
        <v>3120</v>
      </c>
      <c r="D66" s="11">
        <v>45102</v>
      </c>
      <c r="F66" s="5">
        <v>44214</v>
      </c>
      <c r="G66" s="11">
        <v>30960</v>
      </c>
      <c r="H66" s="11">
        <v>3474</v>
      </c>
      <c r="I66" s="11">
        <v>34434</v>
      </c>
      <c r="K66" s="5">
        <v>43486</v>
      </c>
      <c r="L66" s="5">
        <v>44214</v>
      </c>
      <c r="M66" s="11">
        <v>-6639</v>
      </c>
      <c r="N66" s="11">
        <v>6</v>
      </c>
      <c r="O66" s="11">
        <v>-6633</v>
      </c>
      <c r="P66" s="8">
        <v>-0.17657384504907048</v>
      </c>
      <c r="Q66" s="8">
        <v>1.7301038062282892E-3</v>
      </c>
      <c r="R66" s="12">
        <v>-0.16151654613193078</v>
      </c>
    </row>
    <row r="67" spans="1:18" x14ac:dyDescent="0.2">
      <c r="A67" s="5">
        <v>43484</v>
      </c>
      <c r="B67" s="11">
        <v>32925</v>
      </c>
      <c r="C67" s="11">
        <v>727</v>
      </c>
      <c r="D67" s="11">
        <v>33652</v>
      </c>
      <c r="F67" s="5">
        <v>44215</v>
      </c>
      <c r="G67" s="11">
        <v>30699</v>
      </c>
      <c r="H67" s="11">
        <v>3691</v>
      </c>
      <c r="I67" s="11">
        <v>34390</v>
      </c>
      <c r="K67" s="5">
        <v>43487</v>
      </c>
      <c r="L67" s="5">
        <v>44215</v>
      </c>
      <c r="M67" s="11">
        <v>-5117</v>
      </c>
      <c r="N67" s="11">
        <v>142</v>
      </c>
      <c r="O67" s="11">
        <v>-4975</v>
      </c>
      <c r="P67" s="8">
        <v>-0.14286910877819969</v>
      </c>
      <c r="Q67" s="8">
        <v>4.0011270780501595E-2</v>
      </c>
      <c r="R67" s="12">
        <v>-0.12638130318811125</v>
      </c>
    </row>
    <row r="68" spans="1:18" x14ac:dyDescent="0.2">
      <c r="A68" s="5">
        <v>43485</v>
      </c>
      <c r="B68" s="11">
        <v>28459</v>
      </c>
      <c r="C68" s="11">
        <v>148</v>
      </c>
      <c r="D68" s="11">
        <v>28607</v>
      </c>
      <c r="F68" s="5">
        <v>44216</v>
      </c>
      <c r="G68" s="11">
        <v>30304</v>
      </c>
      <c r="H68" s="11">
        <v>3610</v>
      </c>
      <c r="I68" s="11">
        <v>33914</v>
      </c>
      <c r="K68" s="5">
        <v>43488</v>
      </c>
      <c r="L68" s="5">
        <v>44216</v>
      </c>
      <c r="M68" s="11">
        <v>-6823</v>
      </c>
      <c r="N68" s="11">
        <v>-149</v>
      </c>
      <c r="O68" s="11">
        <v>-6972</v>
      </c>
      <c r="P68" s="8">
        <v>-0.18377461146874241</v>
      </c>
      <c r="Q68" s="8">
        <v>-3.9638201649374816E-2</v>
      </c>
      <c r="R68" s="12">
        <v>-0.17052291738003234</v>
      </c>
    </row>
    <row r="69" spans="1:18" x14ac:dyDescent="0.2">
      <c r="A69" s="5">
        <v>43486</v>
      </c>
      <c r="B69" s="11">
        <v>37599</v>
      </c>
      <c r="C69" s="11">
        <v>3468</v>
      </c>
      <c r="D69" s="11">
        <v>41067</v>
      </c>
      <c r="F69" s="5">
        <v>44217</v>
      </c>
      <c r="G69" s="11">
        <v>30241</v>
      </c>
      <c r="H69" s="11">
        <v>3682</v>
      </c>
      <c r="I69" s="11">
        <v>33923</v>
      </c>
      <c r="K69" s="5">
        <v>43489</v>
      </c>
      <c r="L69" s="5">
        <v>44217</v>
      </c>
      <c r="M69" s="11">
        <v>-8140</v>
      </c>
      <c r="N69" s="11">
        <v>33</v>
      </c>
      <c r="O69" s="11">
        <v>-8107</v>
      </c>
      <c r="P69" s="8">
        <v>-0.21208410411401479</v>
      </c>
      <c r="Q69" s="8">
        <v>9.0435735818032992E-3</v>
      </c>
      <c r="R69" s="12">
        <v>-0.19288603378539138</v>
      </c>
    </row>
    <row r="70" spans="1:18" x14ac:dyDescent="0.2">
      <c r="A70" s="5">
        <v>43487</v>
      </c>
      <c r="B70" s="11">
        <v>35816</v>
      </c>
      <c r="C70" s="11">
        <v>3549</v>
      </c>
      <c r="D70" s="11">
        <v>39365</v>
      </c>
      <c r="F70" s="5">
        <v>44218</v>
      </c>
      <c r="G70" s="11">
        <v>32935</v>
      </c>
      <c r="H70" s="11">
        <v>3136</v>
      </c>
      <c r="I70" s="11">
        <v>36071</v>
      </c>
      <c r="K70" s="5">
        <v>43490</v>
      </c>
      <c r="L70" s="5">
        <v>44218</v>
      </c>
      <c r="M70" s="11">
        <v>-10116</v>
      </c>
      <c r="N70" s="11">
        <v>-16</v>
      </c>
      <c r="O70" s="11">
        <v>-10132</v>
      </c>
      <c r="P70" s="8">
        <v>-0.23497712015981043</v>
      </c>
      <c r="Q70" s="8">
        <v>-5.0761421319797106E-3</v>
      </c>
      <c r="R70" s="12">
        <v>-0.21929311949440511</v>
      </c>
    </row>
    <row r="71" spans="1:18" x14ac:dyDescent="0.2">
      <c r="A71" s="5">
        <v>43488</v>
      </c>
      <c r="B71" s="11">
        <v>37127</v>
      </c>
      <c r="C71" s="11">
        <v>3759</v>
      </c>
      <c r="D71" s="11">
        <v>40886</v>
      </c>
      <c r="F71" s="5">
        <v>44219</v>
      </c>
      <c r="G71" s="11">
        <v>22753</v>
      </c>
      <c r="H71" s="11">
        <v>628</v>
      </c>
      <c r="I71" s="11">
        <v>23381</v>
      </c>
      <c r="K71" s="5">
        <v>43491</v>
      </c>
      <c r="L71" s="5">
        <v>44219</v>
      </c>
      <c r="M71" s="11">
        <v>-15492</v>
      </c>
      <c r="N71" s="11">
        <v>-165</v>
      </c>
      <c r="O71" s="11">
        <v>-15657</v>
      </c>
      <c r="P71" s="8">
        <v>-0.40507255850437962</v>
      </c>
      <c r="Q71" s="8">
        <v>-0.20807061790668346</v>
      </c>
      <c r="R71" s="12">
        <v>-0.40107075157538807</v>
      </c>
    </row>
    <row r="72" spans="1:18" x14ac:dyDescent="0.2">
      <c r="A72" s="5">
        <v>43489</v>
      </c>
      <c r="B72" s="11">
        <v>38381</v>
      </c>
      <c r="C72" s="11">
        <v>3649</v>
      </c>
      <c r="D72" s="11">
        <v>42030</v>
      </c>
      <c r="F72" s="5">
        <v>44220</v>
      </c>
      <c r="G72" s="11">
        <v>18590</v>
      </c>
      <c r="H72" s="11">
        <v>111</v>
      </c>
      <c r="I72" s="11">
        <v>18701</v>
      </c>
      <c r="K72" s="5">
        <v>43492</v>
      </c>
      <c r="L72" s="5">
        <v>44220</v>
      </c>
      <c r="M72" s="11">
        <v>-11065</v>
      </c>
      <c r="N72" s="11">
        <v>-70</v>
      </c>
      <c r="O72" s="11">
        <v>-11135</v>
      </c>
      <c r="P72" s="8">
        <v>-0.37312426235036256</v>
      </c>
      <c r="Q72" s="8">
        <v>-0.38674033149171272</v>
      </c>
      <c r="R72" s="12">
        <v>-0.37320686419091031</v>
      </c>
    </row>
    <row r="73" spans="1:18" x14ac:dyDescent="0.2">
      <c r="A73" s="5">
        <v>43490</v>
      </c>
      <c r="B73" s="11">
        <v>43051</v>
      </c>
      <c r="C73" s="11">
        <v>3152</v>
      </c>
      <c r="D73" s="11">
        <v>46203</v>
      </c>
      <c r="F73" s="5">
        <v>44221</v>
      </c>
      <c r="G73" s="11">
        <v>30622</v>
      </c>
      <c r="H73" s="11">
        <v>3694</v>
      </c>
      <c r="I73" s="11">
        <v>34316</v>
      </c>
      <c r="K73" s="5">
        <v>43493</v>
      </c>
      <c r="L73" s="5">
        <v>44221</v>
      </c>
      <c r="M73" s="11">
        <f t="shared" ref="M73:M75" si="4">G73-B76</f>
        <v>-6381</v>
      </c>
      <c r="N73" s="11">
        <f t="shared" ref="N73:N75" si="5">H73-C76</f>
        <v>322</v>
      </c>
      <c r="O73" s="11">
        <f t="shared" ref="O73:O75" si="6">I73-D76</f>
        <v>-6059</v>
      </c>
      <c r="P73" s="8">
        <f t="shared" ref="P73:P75" si="7">G73/B76-1</f>
        <v>-0.17244547739372484</v>
      </c>
      <c r="Q73" s="8">
        <f t="shared" ref="Q73:Q75" si="8">H73/C76-1</f>
        <v>9.549228944246746E-2</v>
      </c>
      <c r="R73" s="12">
        <f t="shared" ref="R73:R75" si="9">I73/D76-1</f>
        <v>-0.15006811145510834</v>
      </c>
    </row>
    <row r="74" spans="1:18" x14ac:dyDescent="0.2">
      <c r="A74" s="5">
        <v>43491</v>
      </c>
      <c r="B74" s="11">
        <v>38245</v>
      </c>
      <c r="C74" s="11">
        <v>793</v>
      </c>
      <c r="D74" s="11">
        <v>39038</v>
      </c>
      <c r="F74" s="5">
        <v>44222</v>
      </c>
      <c r="G74" s="11">
        <v>31181</v>
      </c>
      <c r="H74" s="11">
        <v>3769</v>
      </c>
      <c r="I74" s="11">
        <v>34950</v>
      </c>
      <c r="K74" s="5">
        <v>43494</v>
      </c>
      <c r="L74" s="5">
        <v>44222</v>
      </c>
      <c r="M74" s="11">
        <f t="shared" si="4"/>
        <v>-6521</v>
      </c>
      <c r="N74" s="11">
        <f t="shared" si="5"/>
        <v>45</v>
      </c>
      <c r="O74" s="11">
        <f t="shared" si="6"/>
        <v>-6476</v>
      </c>
      <c r="P74" s="8">
        <f t="shared" si="7"/>
        <v>-0.17296164659699753</v>
      </c>
      <c r="Q74" s="8">
        <f t="shared" si="8"/>
        <v>1.2083780880773443E-2</v>
      </c>
      <c r="R74" s="12">
        <f t="shared" si="9"/>
        <v>-0.15632694443103368</v>
      </c>
    </row>
    <row r="75" spans="1:18" x14ac:dyDescent="0.2">
      <c r="A75" s="5">
        <v>43492</v>
      </c>
      <c r="B75" s="11">
        <v>29655</v>
      </c>
      <c r="C75" s="11">
        <v>181</v>
      </c>
      <c r="D75" s="11">
        <v>29836</v>
      </c>
      <c r="F75" s="5">
        <v>44223</v>
      </c>
      <c r="G75" s="11">
        <v>30152</v>
      </c>
      <c r="H75" s="11">
        <v>3562</v>
      </c>
      <c r="I75" s="11">
        <v>33714</v>
      </c>
      <c r="K75" s="5">
        <v>43495</v>
      </c>
      <c r="L75" s="5">
        <v>44223</v>
      </c>
      <c r="M75" s="11">
        <f t="shared" si="4"/>
        <v>-8202</v>
      </c>
      <c r="N75" s="11">
        <f t="shared" si="5"/>
        <v>-223</v>
      </c>
      <c r="O75" s="11">
        <f t="shared" si="6"/>
        <v>-8425</v>
      </c>
      <c r="P75" s="8">
        <f t="shared" si="7"/>
        <v>-0.21384992438859052</v>
      </c>
      <c r="Q75" s="8">
        <f t="shared" si="8"/>
        <v>-5.8916776750330246E-2</v>
      </c>
      <c r="R75" s="12">
        <f t="shared" si="9"/>
        <v>-0.19993355324046602</v>
      </c>
    </row>
    <row r="76" spans="1:18" x14ac:dyDescent="0.2">
      <c r="A76" s="5">
        <v>43493</v>
      </c>
      <c r="B76" s="11">
        <v>37003</v>
      </c>
      <c r="C76" s="11">
        <v>3372</v>
      </c>
      <c r="D76" s="11">
        <v>40375</v>
      </c>
      <c r="F76" s="5">
        <v>44224</v>
      </c>
      <c r="G76" s="11">
        <v>31160</v>
      </c>
      <c r="H76" s="11">
        <v>3654</v>
      </c>
      <c r="I76" s="11">
        <v>34814</v>
      </c>
      <c r="K76" s="5">
        <v>43496</v>
      </c>
      <c r="L76" s="5">
        <v>44224</v>
      </c>
      <c r="M76" s="11">
        <f t="shared" ref="M76:M79" si="10">G76-B79</f>
        <v>-7969</v>
      </c>
      <c r="N76" s="11">
        <f t="shared" ref="N76:N79" si="11">H76-C79</f>
        <v>151</v>
      </c>
      <c r="O76" s="11">
        <f t="shared" ref="O76:O79" si="12">I76-D79</f>
        <v>-7818</v>
      </c>
      <c r="P76" s="8">
        <f t="shared" ref="P76:P79" si="13">G76/B79-1</f>
        <v>-0.20365968974417947</v>
      </c>
      <c r="Q76" s="8">
        <f t="shared" ref="Q76:Q79" si="14">H76/C79-1</f>
        <v>4.3105909220668037E-2</v>
      </c>
      <c r="R76" s="12">
        <f t="shared" ref="R76:R79" si="15">I76/D79-1</f>
        <v>-0.18338337399136795</v>
      </c>
    </row>
    <row r="77" spans="1:18" x14ac:dyDescent="0.2">
      <c r="A77" s="5">
        <v>43494</v>
      </c>
      <c r="B77" s="11">
        <v>37702</v>
      </c>
      <c r="C77" s="11">
        <v>3724</v>
      </c>
      <c r="D77" s="11">
        <v>41426</v>
      </c>
      <c r="F77" s="5">
        <v>44225</v>
      </c>
      <c r="G77" s="11">
        <v>35089</v>
      </c>
      <c r="H77" s="11">
        <v>3233</v>
      </c>
      <c r="I77" s="11">
        <v>38322</v>
      </c>
      <c r="K77" s="5">
        <v>43497</v>
      </c>
      <c r="L77" s="5">
        <v>44225</v>
      </c>
      <c r="M77" s="11">
        <f t="shared" si="10"/>
        <v>-6357</v>
      </c>
      <c r="N77" s="11">
        <f t="shared" si="11"/>
        <v>322</v>
      </c>
      <c r="O77" s="11">
        <f t="shared" si="12"/>
        <v>-6035</v>
      </c>
      <c r="P77" s="8">
        <f t="shared" si="13"/>
        <v>-0.15338030207981468</v>
      </c>
      <c r="Q77" s="8">
        <f t="shared" si="14"/>
        <v>0.11061490896599113</v>
      </c>
      <c r="R77" s="12">
        <f t="shared" si="15"/>
        <v>-0.13605518858353816</v>
      </c>
    </row>
    <row r="78" spans="1:18" x14ac:dyDescent="0.2">
      <c r="A78" s="5">
        <v>43495</v>
      </c>
      <c r="B78" s="11">
        <v>38354</v>
      </c>
      <c r="C78" s="11">
        <v>3785</v>
      </c>
      <c r="D78" s="11">
        <v>42139</v>
      </c>
      <c r="F78" s="5">
        <v>44226</v>
      </c>
      <c r="G78" s="11">
        <v>24189</v>
      </c>
      <c r="H78" s="11">
        <v>602</v>
      </c>
      <c r="I78" s="11">
        <v>24791</v>
      </c>
      <c r="K78" s="5">
        <v>43498</v>
      </c>
      <c r="L78" s="5">
        <v>44226</v>
      </c>
      <c r="M78" s="11">
        <f t="shared" si="10"/>
        <v>-13772</v>
      </c>
      <c r="N78" s="11">
        <f t="shared" si="11"/>
        <v>-154</v>
      </c>
      <c r="O78" s="11">
        <f t="shared" si="12"/>
        <v>-13926</v>
      </c>
      <c r="P78" s="8">
        <f t="shared" si="13"/>
        <v>-0.36279339321935666</v>
      </c>
      <c r="Q78" s="8">
        <f t="shared" si="14"/>
        <v>-0.20370370370370372</v>
      </c>
      <c r="R78" s="12">
        <f t="shared" si="15"/>
        <v>-0.35968695921688143</v>
      </c>
    </row>
    <row r="79" spans="1:18" x14ac:dyDescent="0.2">
      <c r="A79" s="5">
        <v>43496</v>
      </c>
      <c r="B79" s="11">
        <v>39129</v>
      </c>
      <c r="C79" s="11">
        <v>3503</v>
      </c>
      <c r="D79" s="11">
        <v>42632</v>
      </c>
      <c r="F79" s="5">
        <v>44227</v>
      </c>
      <c r="G79" s="11">
        <v>17894</v>
      </c>
      <c r="H79" s="11">
        <v>90</v>
      </c>
      <c r="I79" s="11">
        <v>17984</v>
      </c>
      <c r="K79" s="5">
        <v>43499</v>
      </c>
      <c r="L79" s="5">
        <v>44227</v>
      </c>
      <c r="M79" s="11">
        <f t="shared" si="10"/>
        <v>-9997</v>
      </c>
      <c r="N79" s="11">
        <f t="shared" si="11"/>
        <v>-72</v>
      </c>
      <c r="O79" s="11">
        <f t="shared" si="12"/>
        <v>-10069</v>
      </c>
      <c r="P79" s="8">
        <f t="shared" si="13"/>
        <v>-0.35843103510092866</v>
      </c>
      <c r="Q79" s="8">
        <f t="shared" si="14"/>
        <v>-0.44444444444444442</v>
      </c>
      <c r="R79" s="12">
        <f t="shared" si="15"/>
        <v>-0.35892774391330695</v>
      </c>
    </row>
    <row r="80" spans="1:18" x14ac:dyDescent="0.2">
      <c r="A80" s="5">
        <v>43497</v>
      </c>
      <c r="B80" s="11">
        <v>41446</v>
      </c>
      <c r="C80" s="11">
        <v>2911</v>
      </c>
      <c r="D80" s="11">
        <v>44357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57" x14ac:dyDescent="0.2">
      <c r="A81" s="5">
        <v>43498</v>
      </c>
      <c r="B81" s="11">
        <v>37961</v>
      </c>
      <c r="C81" s="11">
        <v>756</v>
      </c>
      <c r="D81" s="11">
        <v>38717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57" x14ac:dyDescent="0.2">
      <c r="A82" s="5">
        <v>43499</v>
      </c>
      <c r="B82" s="11">
        <v>27891</v>
      </c>
      <c r="C82" s="11">
        <v>162</v>
      </c>
      <c r="D82" s="11">
        <v>28053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57" x14ac:dyDescent="0.2">
      <c r="A83" s="5"/>
      <c r="B83" s="11"/>
      <c r="C83" s="11"/>
      <c r="D83" s="11"/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  <c r="BC83">
        <v>0</v>
      </c>
      <c r="BD83">
        <v>0</v>
      </c>
      <c r="BE83">
        <v>0</v>
      </c>
    </row>
    <row r="84" spans="1:57" x14ac:dyDescent="0.2">
      <c r="B84" s="2"/>
      <c r="C84" s="2"/>
      <c r="G84" s="2"/>
      <c r="H84" s="2"/>
      <c r="BC84">
        <v>0</v>
      </c>
      <c r="BD84">
        <v>0</v>
      </c>
      <c r="BE84">
        <v>0</v>
      </c>
    </row>
    <row r="85" spans="1:57" ht="12.95" customHeight="1" x14ac:dyDescent="0.2">
      <c r="A85" s="23" t="s">
        <v>14</v>
      </c>
      <c r="B85" s="6"/>
      <c r="C85" s="6"/>
      <c r="D85" s="3"/>
      <c r="F85" s="23" t="s">
        <v>14</v>
      </c>
      <c r="G85" s="6"/>
      <c r="H85" s="6"/>
      <c r="I85" s="3"/>
      <c r="K85" s="23" t="s">
        <v>15</v>
      </c>
      <c r="L85" s="23"/>
      <c r="M85" s="6"/>
      <c r="N85" s="6"/>
      <c r="O85" s="3"/>
      <c r="P85" s="6"/>
      <c r="Q85" s="6"/>
      <c r="R85" s="3"/>
      <c r="BC85">
        <v>0</v>
      </c>
      <c r="BD85">
        <v>0</v>
      </c>
      <c r="BE85">
        <v>0</v>
      </c>
    </row>
    <row r="86" spans="1:57" ht="26.45" customHeight="1" x14ac:dyDescent="0.2">
      <c r="A86" s="24"/>
      <c r="B86" s="7" t="s">
        <v>38</v>
      </c>
      <c r="C86" s="4" t="s">
        <v>2</v>
      </c>
      <c r="D86" s="4" t="s">
        <v>0</v>
      </c>
      <c r="F86" s="24"/>
      <c r="G86" s="7" t="s">
        <v>38</v>
      </c>
      <c r="H86" s="4" t="s">
        <v>2</v>
      </c>
      <c r="I86" s="4" t="s">
        <v>0</v>
      </c>
      <c r="K86" s="24"/>
      <c r="L86" s="24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  <c r="BC86">
        <v>0</v>
      </c>
      <c r="BD86">
        <v>0</v>
      </c>
      <c r="BE86">
        <v>0</v>
      </c>
    </row>
    <row r="87" spans="1:57" x14ac:dyDescent="0.2">
      <c r="A87" s="5">
        <v>43466</v>
      </c>
      <c r="B87" s="11">
        <v>28206</v>
      </c>
      <c r="C87" s="11">
        <v>110</v>
      </c>
      <c r="D87" s="11">
        <v>28316</v>
      </c>
      <c r="F87" s="5">
        <v>44197</v>
      </c>
      <c r="G87" s="11">
        <v>14103</v>
      </c>
      <c r="H87" s="11">
        <v>40</v>
      </c>
      <c r="I87" s="11">
        <v>14143</v>
      </c>
      <c r="K87" s="5">
        <v>43469</v>
      </c>
      <c r="L87" s="5">
        <v>44197</v>
      </c>
      <c r="M87" s="11">
        <v>-25014</v>
      </c>
      <c r="N87" s="11">
        <v>-2185</v>
      </c>
      <c r="O87" s="11">
        <v>-27199</v>
      </c>
      <c r="P87" s="8">
        <v>-0.63946621673441217</v>
      </c>
      <c r="Q87" s="8">
        <v>-0.98202247191011238</v>
      </c>
      <c r="R87" s="12">
        <v>-0.65790237530840301</v>
      </c>
    </row>
    <row r="88" spans="1:57" x14ac:dyDescent="0.2">
      <c r="A88" s="5">
        <v>43467</v>
      </c>
      <c r="B88" s="11">
        <v>41236</v>
      </c>
      <c r="C88" s="11">
        <v>1114</v>
      </c>
      <c r="D88" s="11">
        <v>42350</v>
      </c>
      <c r="F88" s="5">
        <v>44198</v>
      </c>
      <c r="G88" s="11">
        <v>23637</v>
      </c>
      <c r="H88" s="11">
        <v>229</v>
      </c>
      <c r="I88" s="11">
        <v>23866</v>
      </c>
      <c r="K88" s="5">
        <v>43470</v>
      </c>
      <c r="L88" s="5">
        <v>44198</v>
      </c>
      <c r="M88" s="11">
        <v>-17395</v>
      </c>
      <c r="N88" s="11">
        <v>-503</v>
      </c>
      <c r="O88" s="11">
        <v>-17898</v>
      </c>
      <c r="P88" s="8">
        <v>-0.42393741470072144</v>
      </c>
      <c r="Q88" s="8">
        <v>-0.68715846994535523</v>
      </c>
      <c r="R88" s="12">
        <v>-0.4285509050857198</v>
      </c>
    </row>
    <row r="89" spans="1:57" x14ac:dyDescent="0.2">
      <c r="A89" s="5">
        <v>43468</v>
      </c>
      <c r="B89" s="11">
        <v>40238</v>
      </c>
      <c r="C89" s="11">
        <v>2242</v>
      </c>
      <c r="D89" s="11">
        <v>42480</v>
      </c>
      <c r="F89" s="5">
        <v>44199</v>
      </c>
      <c r="G89" s="11">
        <v>20824</v>
      </c>
      <c r="H89" s="11">
        <v>65</v>
      </c>
      <c r="I89" s="11">
        <v>20889</v>
      </c>
      <c r="K89" s="5">
        <v>43471</v>
      </c>
      <c r="L89" s="5">
        <v>44199</v>
      </c>
      <c r="M89" s="11">
        <v>-9934</v>
      </c>
      <c r="N89" s="11">
        <v>-66</v>
      </c>
      <c r="O89" s="11">
        <v>-10000</v>
      </c>
      <c r="P89" s="8">
        <v>-0.32297288510306266</v>
      </c>
      <c r="Q89" s="8">
        <v>-0.50381679389312972</v>
      </c>
      <c r="R89" s="12">
        <v>-0.32373984266243649</v>
      </c>
    </row>
    <row r="90" spans="1:57" x14ac:dyDescent="0.2">
      <c r="A90" s="5">
        <v>43469</v>
      </c>
      <c r="B90" s="11">
        <v>39117</v>
      </c>
      <c r="C90" s="11">
        <v>2225</v>
      </c>
      <c r="D90" s="11">
        <v>41342</v>
      </c>
      <c r="F90" s="5">
        <v>44200</v>
      </c>
      <c r="G90" s="11">
        <v>28919</v>
      </c>
      <c r="H90" s="11">
        <v>2019</v>
      </c>
      <c r="I90" s="11">
        <v>30938</v>
      </c>
      <c r="K90" s="5">
        <v>43472</v>
      </c>
      <c r="L90" s="5">
        <v>44200</v>
      </c>
      <c r="M90" s="11">
        <v>-6599</v>
      </c>
      <c r="N90" s="11">
        <v>-696</v>
      </c>
      <c r="O90" s="11">
        <v>-7295</v>
      </c>
      <c r="P90" s="8">
        <v>-0.18579311898192463</v>
      </c>
      <c r="Q90" s="8">
        <v>-0.25635359116022094</v>
      </c>
      <c r="R90" s="12">
        <v>-0.19080375591766274</v>
      </c>
    </row>
    <row r="91" spans="1:57" x14ac:dyDescent="0.2">
      <c r="A91" s="5">
        <v>43470</v>
      </c>
      <c r="B91" s="11">
        <v>41032</v>
      </c>
      <c r="C91" s="11">
        <v>732</v>
      </c>
      <c r="D91" s="11">
        <v>41764</v>
      </c>
      <c r="F91" s="5">
        <v>44201</v>
      </c>
      <c r="G91" s="11">
        <v>29079</v>
      </c>
      <c r="H91" s="11">
        <v>2644</v>
      </c>
      <c r="I91" s="11">
        <v>31723</v>
      </c>
      <c r="K91" s="5">
        <v>43473</v>
      </c>
      <c r="L91" s="5">
        <v>44201</v>
      </c>
      <c r="M91" s="11">
        <v>-6550</v>
      </c>
      <c r="N91" s="11">
        <v>-660</v>
      </c>
      <c r="O91" s="11">
        <v>-7210</v>
      </c>
      <c r="P91" s="8">
        <v>-0.18383900755002947</v>
      </c>
      <c r="Q91" s="8">
        <v>-0.19975786924939465</v>
      </c>
      <c r="R91" s="12">
        <v>-0.18518994169470626</v>
      </c>
    </row>
    <row r="92" spans="1:57" x14ac:dyDescent="0.2">
      <c r="A92" s="5">
        <v>43471</v>
      </c>
      <c r="B92" s="11">
        <v>30758</v>
      </c>
      <c r="C92" s="11">
        <v>131</v>
      </c>
      <c r="D92" s="11">
        <v>30889</v>
      </c>
      <c r="F92" s="5">
        <v>44202</v>
      </c>
      <c r="G92" s="11">
        <v>28832</v>
      </c>
      <c r="H92" s="11">
        <v>2508</v>
      </c>
      <c r="I92" s="11">
        <v>31340</v>
      </c>
      <c r="K92" s="5">
        <v>43474</v>
      </c>
      <c r="L92" s="5">
        <v>44202</v>
      </c>
      <c r="M92" s="11">
        <v>-6814</v>
      </c>
      <c r="N92" s="11">
        <v>-1018</v>
      </c>
      <c r="O92" s="11">
        <v>-7832</v>
      </c>
      <c r="P92" s="8">
        <v>-0.19115749312685859</v>
      </c>
      <c r="Q92" s="8">
        <v>-0.28871242200794101</v>
      </c>
      <c r="R92" s="12">
        <v>-0.19993873174716636</v>
      </c>
    </row>
    <row r="93" spans="1:57" x14ac:dyDescent="0.2">
      <c r="A93" s="5">
        <v>43472</v>
      </c>
      <c r="B93" s="11">
        <v>35518</v>
      </c>
      <c r="C93" s="11">
        <v>2715</v>
      </c>
      <c r="D93" s="11">
        <v>38233</v>
      </c>
      <c r="F93" s="5">
        <v>44203</v>
      </c>
      <c r="G93" s="11">
        <v>30250</v>
      </c>
      <c r="H93" s="11">
        <v>2883</v>
      </c>
      <c r="I93" s="11">
        <v>33133</v>
      </c>
      <c r="K93" s="5">
        <v>43475</v>
      </c>
      <c r="L93" s="5">
        <v>44203</v>
      </c>
      <c r="M93" s="11">
        <v>-6541</v>
      </c>
      <c r="N93" s="11">
        <v>-492</v>
      </c>
      <c r="O93" s="11">
        <v>-7033</v>
      </c>
      <c r="P93" s="8">
        <v>-0.17778804598950826</v>
      </c>
      <c r="Q93" s="8">
        <v>-0.14577777777777778</v>
      </c>
      <c r="R93" s="12">
        <v>-0.175098341881193</v>
      </c>
    </row>
    <row r="94" spans="1:57" x14ac:dyDescent="0.2">
      <c r="A94" s="5">
        <v>43473</v>
      </c>
      <c r="B94" s="11">
        <v>35629</v>
      </c>
      <c r="C94" s="11">
        <v>3304</v>
      </c>
      <c r="D94" s="11">
        <v>38933</v>
      </c>
      <c r="F94" s="5">
        <v>44204</v>
      </c>
      <c r="G94" s="11">
        <v>32491</v>
      </c>
      <c r="H94" s="11">
        <v>2914</v>
      </c>
      <c r="I94" s="11">
        <v>35405</v>
      </c>
      <c r="K94" s="5">
        <v>43476</v>
      </c>
      <c r="L94" s="5">
        <v>44204</v>
      </c>
      <c r="M94" s="11">
        <v>-7396</v>
      </c>
      <c r="N94" s="11">
        <v>-408</v>
      </c>
      <c r="O94" s="11">
        <v>-7804</v>
      </c>
      <c r="P94" s="8">
        <v>-0.18542382229799181</v>
      </c>
      <c r="Q94" s="8">
        <v>-0.12281757977122221</v>
      </c>
      <c r="R94" s="12">
        <v>-0.18061052095628227</v>
      </c>
    </row>
    <row r="95" spans="1:57" x14ac:dyDescent="0.2">
      <c r="A95" s="5">
        <v>43474</v>
      </c>
      <c r="B95" s="11">
        <v>35646</v>
      </c>
      <c r="C95" s="11">
        <v>3526</v>
      </c>
      <c r="D95" s="11">
        <v>39172</v>
      </c>
      <c r="F95" s="5">
        <v>44205</v>
      </c>
      <c r="G95" s="11">
        <v>23436</v>
      </c>
      <c r="H95" s="11">
        <v>823</v>
      </c>
      <c r="I95" s="11">
        <v>24259</v>
      </c>
      <c r="K95" s="5">
        <v>43477</v>
      </c>
      <c r="L95" s="5">
        <v>44205</v>
      </c>
      <c r="M95" s="11">
        <v>-13819</v>
      </c>
      <c r="N95" s="11">
        <v>-172</v>
      </c>
      <c r="O95" s="11">
        <v>-13991</v>
      </c>
      <c r="P95" s="8">
        <v>-0.3709300764997987</v>
      </c>
      <c r="Q95" s="8">
        <v>-0.17286432160804022</v>
      </c>
      <c r="R95" s="12">
        <v>-0.36577777777777776</v>
      </c>
    </row>
    <row r="96" spans="1:57" x14ac:dyDescent="0.2">
      <c r="A96" s="5">
        <v>43475</v>
      </c>
      <c r="B96" s="11">
        <v>36791</v>
      </c>
      <c r="C96" s="11">
        <v>3375</v>
      </c>
      <c r="D96" s="11">
        <v>40166</v>
      </c>
      <c r="F96" s="5">
        <v>44206</v>
      </c>
      <c r="G96" s="11">
        <v>18355</v>
      </c>
      <c r="H96" s="11">
        <v>65</v>
      </c>
      <c r="I96" s="11">
        <v>18420</v>
      </c>
      <c r="K96" s="5">
        <v>43478</v>
      </c>
      <c r="L96" s="5">
        <v>44206</v>
      </c>
      <c r="M96" s="11">
        <v>-7738</v>
      </c>
      <c r="N96" s="11">
        <v>-50</v>
      </c>
      <c r="O96" s="11">
        <v>-7788</v>
      </c>
      <c r="P96" s="8">
        <v>-0.29655463151036676</v>
      </c>
      <c r="Q96" s="8">
        <v>-0.43478260869565222</v>
      </c>
      <c r="R96" s="12">
        <v>-0.29716117216117222</v>
      </c>
    </row>
    <row r="97" spans="1:18" x14ac:dyDescent="0.2">
      <c r="A97" s="5">
        <v>43476</v>
      </c>
      <c r="B97" s="11">
        <v>39887</v>
      </c>
      <c r="C97" s="11">
        <v>3322</v>
      </c>
      <c r="D97" s="11">
        <v>43209</v>
      </c>
      <c r="F97" s="5">
        <v>44207</v>
      </c>
      <c r="G97" s="11">
        <v>31220</v>
      </c>
      <c r="H97" s="11">
        <v>3082</v>
      </c>
      <c r="I97" s="11">
        <v>34302</v>
      </c>
      <c r="K97" s="5">
        <v>43479</v>
      </c>
      <c r="L97" s="5">
        <v>44207</v>
      </c>
      <c r="M97" s="11">
        <v>-4075</v>
      </c>
      <c r="N97" s="11">
        <v>-12</v>
      </c>
      <c r="O97" s="11">
        <v>-4087</v>
      </c>
      <c r="P97" s="8">
        <v>-0.1154554469471597</v>
      </c>
      <c r="Q97" s="8">
        <v>-3.878474466709747E-3</v>
      </c>
      <c r="R97" s="12">
        <v>-0.10646278881971394</v>
      </c>
    </row>
    <row r="98" spans="1:18" x14ac:dyDescent="0.2">
      <c r="A98" s="5">
        <v>43477</v>
      </c>
      <c r="B98" s="11">
        <v>37255</v>
      </c>
      <c r="C98" s="11">
        <v>995</v>
      </c>
      <c r="D98" s="11">
        <v>38250</v>
      </c>
      <c r="F98" s="5">
        <v>44208</v>
      </c>
      <c r="G98" s="11">
        <v>30569</v>
      </c>
      <c r="H98" s="11">
        <v>3644</v>
      </c>
      <c r="I98" s="11">
        <v>34213</v>
      </c>
      <c r="K98" s="5">
        <v>43480</v>
      </c>
      <c r="L98" s="5">
        <v>44208</v>
      </c>
      <c r="M98" s="11">
        <v>-4294</v>
      </c>
      <c r="N98" s="11">
        <v>-196</v>
      </c>
      <c r="O98" s="11">
        <v>-4490</v>
      </c>
      <c r="P98" s="8">
        <v>-0.12316782835671058</v>
      </c>
      <c r="Q98" s="8">
        <v>-5.1041666666666652E-2</v>
      </c>
      <c r="R98" s="12">
        <v>-0.11601167868123918</v>
      </c>
    </row>
    <row r="99" spans="1:18" x14ac:dyDescent="0.2">
      <c r="A99" s="5">
        <v>43478</v>
      </c>
      <c r="B99" s="11">
        <v>26093</v>
      </c>
      <c r="C99" s="11">
        <v>115</v>
      </c>
      <c r="D99" s="11">
        <v>26208</v>
      </c>
      <c r="F99" s="5">
        <v>44209</v>
      </c>
      <c r="G99" s="11">
        <v>31262</v>
      </c>
      <c r="H99" s="11">
        <v>3840</v>
      </c>
      <c r="I99" s="11">
        <v>35102</v>
      </c>
      <c r="K99" s="5">
        <v>43481</v>
      </c>
      <c r="L99" s="5">
        <v>44209</v>
      </c>
      <c r="M99" s="11">
        <v>-1017</v>
      </c>
      <c r="N99" s="11">
        <v>256</v>
      </c>
      <c r="O99" s="11">
        <v>-761</v>
      </c>
      <c r="P99" s="8">
        <v>-3.1506552247591357E-2</v>
      </c>
      <c r="Q99" s="8">
        <v>7.1428571428571397E-2</v>
      </c>
      <c r="R99" s="12">
        <v>-2.1219641413155577E-2</v>
      </c>
    </row>
    <row r="100" spans="1:18" x14ac:dyDescent="0.2">
      <c r="A100" s="5">
        <v>43479</v>
      </c>
      <c r="B100" s="11">
        <v>35295</v>
      </c>
      <c r="C100" s="11">
        <v>3094</v>
      </c>
      <c r="D100" s="11">
        <v>38389</v>
      </c>
      <c r="F100" s="5">
        <v>44210</v>
      </c>
      <c r="G100" s="11">
        <v>30433</v>
      </c>
      <c r="H100" s="11">
        <v>3560</v>
      </c>
      <c r="I100" s="11">
        <v>33993</v>
      </c>
      <c r="K100" s="5">
        <v>43482</v>
      </c>
      <c r="L100" s="5">
        <v>44210</v>
      </c>
      <c r="M100" s="11">
        <v>-7057</v>
      </c>
      <c r="N100" s="11">
        <v>-156</v>
      </c>
      <c r="O100" s="11">
        <v>-7213</v>
      </c>
      <c r="P100" s="8">
        <v>-0.18823686316351029</v>
      </c>
      <c r="Q100" s="8">
        <v>-4.1980624327233595E-2</v>
      </c>
      <c r="R100" s="12">
        <v>-0.17504732320535843</v>
      </c>
    </row>
    <row r="101" spans="1:18" x14ac:dyDescent="0.2">
      <c r="A101" s="5">
        <v>43480</v>
      </c>
      <c r="B101" s="11">
        <v>34863</v>
      </c>
      <c r="C101" s="11">
        <v>3840</v>
      </c>
      <c r="D101" s="11">
        <v>38703</v>
      </c>
      <c r="F101" s="5">
        <v>44211</v>
      </c>
      <c r="G101" s="11">
        <v>31860</v>
      </c>
      <c r="H101" s="11">
        <v>3211</v>
      </c>
      <c r="I101" s="11">
        <v>35071</v>
      </c>
      <c r="K101" s="5">
        <v>43483</v>
      </c>
      <c r="L101" s="5">
        <v>44211</v>
      </c>
      <c r="M101" s="11">
        <v>-10053</v>
      </c>
      <c r="N101" s="11">
        <v>-364</v>
      </c>
      <c r="O101" s="11">
        <v>-10417</v>
      </c>
      <c r="P101" s="8">
        <v>-0.23985398325101992</v>
      </c>
      <c r="Q101" s="8">
        <v>-0.10181818181818181</v>
      </c>
      <c r="R101" s="12">
        <v>-0.22900545198733735</v>
      </c>
    </row>
    <row r="102" spans="1:18" x14ac:dyDescent="0.2">
      <c r="A102" s="5">
        <v>43481</v>
      </c>
      <c r="B102" s="11">
        <v>32279</v>
      </c>
      <c r="C102" s="11">
        <v>3584</v>
      </c>
      <c r="D102" s="11">
        <v>35863</v>
      </c>
      <c r="F102" s="5">
        <v>44212</v>
      </c>
      <c r="G102" s="11">
        <v>21329</v>
      </c>
      <c r="H102" s="11">
        <v>818</v>
      </c>
      <c r="I102" s="11">
        <v>22147</v>
      </c>
      <c r="K102" s="5">
        <v>43484</v>
      </c>
      <c r="L102" s="5">
        <v>44212</v>
      </c>
      <c r="M102" s="11">
        <v>-15205</v>
      </c>
      <c r="N102" s="11">
        <v>-131</v>
      </c>
      <c r="O102" s="11">
        <v>-15336</v>
      </c>
      <c r="P102" s="8">
        <v>-0.41618766080910929</v>
      </c>
      <c r="Q102" s="8">
        <v>-0.13804004214963117</v>
      </c>
      <c r="R102" s="12">
        <v>-0.40914547928394207</v>
      </c>
    </row>
    <row r="103" spans="1:18" x14ac:dyDescent="0.2">
      <c r="A103" s="5">
        <v>43482</v>
      </c>
      <c r="B103" s="11">
        <v>37490</v>
      </c>
      <c r="C103" s="11">
        <v>3716</v>
      </c>
      <c r="D103" s="11">
        <v>41206</v>
      </c>
      <c r="F103" s="5">
        <v>44213</v>
      </c>
      <c r="G103" s="11">
        <v>14827</v>
      </c>
      <c r="H103" s="11">
        <v>62</v>
      </c>
      <c r="I103" s="11">
        <v>14889</v>
      </c>
      <c r="K103" s="5">
        <v>43485</v>
      </c>
      <c r="L103" s="5">
        <v>44213</v>
      </c>
      <c r="M103" s="11">
        <v>-12585</v>
      </c>
      <c r="N103" s="11">
        <v>-58</v>
      </c>
      <c r="O103" s="11">
        <v>-12643</v>
      </c>
      <c r="P103" s="8">
        <v>-0.45910550124033267</v>
      </c>
      <c r="Q103" s="8">
        <v>-0.48333333333333328</v>
      </c>
      <c r="R103" s="12">
        <v>-0.45921109981112884</v>
      </c>
    </row>
    <row r="104" spans="1:18" x14ac:dyDescent="0.2">
      <c r="A104" s="5">
        <v>43483</v>
      </c>
      <c r="B104" s="11">
        <v>41913</v>
      </c>
      <c r="C104" s="11">
        <v>3575</v>
      </c>
      <c r="D104" s="11">
        <v>45488</v>
      </c>
      <c r="F104" s="5">
        <v>44214</v>
      </c>
      <c r="G104" s="11">
        <v>29010</v>
      </c>
      <c r="H104" s="11">
        <v>3157</v>
      </c>
      <c r="I104" s="11">
        <v>32167</v>
      </c>
      <c r="K104" s="5">
        <v>43486</v>
      </c>
      <c r="L104" s="5">
        <v>44214</v>
      </c>
      <c r="M104" s="11">
        <v>-6399</v>
      </c>
      <c r="N104" s="11">
        <v>-14</v>
      </c>
      <c r="O104" s="11">
        <v>-6413</v>
      </c>
      <c r="P104" s="8">
        <v>-0.18071676692366345</v>
      </c>
      <c r="Q104" s="8">
        <v>-4.4150110375276164E-3</v>
      </c>
      <c r="R104" s="12">
        <v>-0.16622602384655261</v>
      </c>
    </row>
    <row r="105" spans="1:18" x14ac:dyDescent="0.2">
      <c r="A105" s="5">
        <v>43484</v>
      </c>
      <c r="B105" s="11">
        <v>36534</v>
      </c>
      <c r="C105" s="11">
        <v>949</v>
      </c>
      <c r="D105" s="11">
        <v>37483</v>
      </c>
      <c r="F105" s="5">
        <v>44215</v>
      </c>
      <c r="G105" s="11">
        <v>29874</v>
      </c>
      <c r="H105" s="11">
        <v>3912</v>
      </c>
      <c r="I105" s="11">
        <v>33786</v>
      </c>
      <c r="K105" s="5">
        <v>43487</v>
      </c>
      <c r="L105" s="5">
        <v>44215</v>
      </c>
      <c r="M105" s="11">
        <v>-3059</v>
      </c>
      <c r="N105" s="11">
        <v>402</v>
      </c>
      <c r="O105" s="11">
        <v>-2657</v>
      </c>
      <c r="P105" s="8">
        <v>-9.2885555521816987E-2</v>
      </c>
      <c r="Q105" s="8">
        <v>0.11452991452991457</v>
      </c>
      <c r="R105" s="12">
        <v>-7.2908377466180063E-2</v>
      </c>
    </row>
    <row r="106" spans="1:18" x14ac:dyDescent="0.2">
      <c r="A106" s="5">
        <v>43485</v>
      </c>
      <c r="B106" s="11">
        <v>27412</v>
      </c>
      <c r="C106" s="11">
        <v>120</v>
      </c>
      <c r="D106" s="11">
        <v>27532</v>
      </c>
      <c r="F106" s="5">
        <v>44216</v>
      </c>
      <c r="G106" s="11">
        <v>30418</v>
      </c>
      <c r="H106" s="11">
        <v>3932</v>
      </c>
      <c r="I106" s="11">
        <v>34350</v>
      </c>
      <c r="K106" s="5">
        <v>43488</v>
      </c>
      <c r="L106" s="5">
        <v>44216</v>
      </c>
      <c r="M106" s="11">
        <v>-6154</v>
      </c>
      <c r="N106" s="11">
        <v>41</v>
      </c>
      <c r="O106" s="11">
        <v>-6113</v>
      </c>
      <c r="P106" s="8">
        <v>-0.16827080826862084</v>
      </c>
      <c r="Q106" s="8">
        <v>1.0537136982780693E-2</v>
      </c>
      <c r="R106" s="12">
        <v>-0.15107629192101424</v>
      </c>
    </row>
    <row r="107" spans="1:18" x14ac:dyDescent="0.2">
      <c r="A107" s="5">
        <v>43486</v>
      </c>
      <c r="B107" s="11">
        <v>35409</v>
      </c>
      <c r="C107" s="11">
        <v>3171</v>
      </c>
      <c r="D107" s="11">
        <v>38580</v>
      </c>
      <c r="F107" s="5">
        <v>44217</v>
      </c>
      <c r="G107" s="11">
        <v>30678</v>
      </c>
      <c r="H107" s="11">
        <v>3818</v>
      </c>
      <c r="I107" s="11">
        <v>34496</v>
      </c>
      <c r="K107" s="5">
        <v>43489</v>
      </c>
      <c r="L107" s="5">
        <v>44217</v>
      </c>
      <c r="M107" s="11">
        <v>-7163</v>
      </c>
      <c r="N107" s="11">
        <v>170</v>
      </c>
      <c r="O107" s="11">
        <v>-6993</v>
      </c>
      <c r="P107" s="8">
        <v>-0.18929203773684633</v>
      </c>
      <c r="Q107" s="8">
        <v>4.6600877192982448E-2</v>
      </c>
      <c r="R107" s="12">
        <v>-0.16855070018559137</v>
      </c>
    </row>
    <row r="108" spans="1:18" x14ac:dyDescent="0.2">
      <c r="A108" s="5">
        <v>43487</v>
      </c>
      <c r="B108" s="11">
        <v>32933</v>
      </c>
      <c r="C108" s="11">
        <v>3510</v>
      </c>
      <c r="D108" s="11">
        <v>36443</v>
      </c>
      <c r="F108" s="5">
        <v>44218</v>
      </c>
      <c r="G108" s="11">
        <v>32684</v>
      </c>
      <c r="H108" s="11">
        <v>3755</v>
      </c>
      <c r="I108" s="11">
        <v>36439</v>
      </c>
      <c r="K108" s="5">
        <v>43490</v>
      </c>
      <c r="L108" s="5">
        <v>44218</v>
      </c>
      <c r="M108" s="11">
        <v>-9982</v>
      </c>
      <c r="N108" s="11">
        <v>256</v>
      </c>
      <c r="O108" s="11">
        <v>-9726</v>
      </c>
      <c r="P108" s="8">
        <v>-0.23395678057469649</v>
      </c>
      <c r="Q108" s="8">
        <v>7.316376107459277E-2</v>
      </c>
      <c r="R108" s="12">
        <v>-0.21067908588757722</v>
      </c>
    </row>
    <row r="109" spans="1:18" x14ac:dyDescent="0.2">
      <c r="A109" s="5">
        <v>43488</v>
      </c>
      <c r="B109" s="11">
        <v>36572</v>
      </c>
      <c r="C109" s="11">
        <v>3891</v>
      </c>
      <c r="D109" s="11">
        <v>40463</v>
      </c>
      <c r="F109" s="5">
        <v>44219</v>
      </c>
      <c r="G109" s="11">
        <v>22513</v>
      </c>
      <c r="H109" s="11">
        <v>888</v>
      </c>
      <c r="I109" s="11">
        <v>23401</v>
      </c>
      <c r="K109" s="5">
        <v>43491</v>
      </c>
      <c r="L109" s="5">
        <v>44219</v>
      </c>
      <c r="M109" s="11">
        <v>-16493</v>
      </c>
      <c r="N109" s="11">
        <v>-186</v>
      </c>
      <c r="O109" s="11">
        <v>-16679</v>
      </c>
      <c r="P109" s="8">
        <v>-0.42283238476131879</v>
      </c>
      <c r="Q109" s="8">
        <v>-0.17318435754189943</v>
      </c>
      <c r="R109" s="12">
        <v>-0.41614271457085827</v>
      </c>
    </row>
    <row r="110" spans="1:18" x14ac:dyDescent="0.2">
      <c r="A110" s="5">
        <v>43489</v>
      </c>
      <c r="B110" s="11">
        <v>37841</v>
      </c>
      <c r="C110" s="11">
        <v>3648</v>
      </c>
      <c r="D110" s="11">
        <v>41489</v>
      </c>
      <c r="F110" s="5">
        <v>44220</v>
      </c>
      <c r="G110" s="11">
        <v>16913</v>
      </c>
      <c r="H110" s="11">
        <v>55</v>
      </c>
      <c r="I110" s="11">
        <v>16968</v>
      </c>
      <c r="K110" s="5">
        <v>43492</v>
      </c>
      <c r="L110" s="5">
        <v>44220</v>
      </c>
      <c r="M110" s="11">
        <v>-12413</v>
      </c>
      <c r="N110" s="11">
        <v>-89</v>
      </c>
      <c r="O110" s="11">
        <v>-12502</v>
      </c>
      <c r="P110" s="8">
        <v>-0.423276273613858</v>
      </c>
      <c r="Q110" s="8">
        <v>-0.61805555555555558</v>
      </c>
      <c r="R110" s="12">
        <v>-0.42422802850356289</v>
      </c>
    </row>
    <row r="111" spans="1:18" x14ac:dyDescent="0.2">
      <c r="A111" s="5">
        <v>43490</v>
      </c>
      <c r="B111" s="11">
        <v>42666</v>
      </c>
      <c r="C111" s="11">
        <v>3499</v>
      </c>
      <c r="D111" s="11">
        <v>46165</v>
      </c>
      <c r="F111" s="5">
        <v>44221</v>
      </c>
      <c r="G111" s="11">
        <v>29079</v>
      </c>
      <c r="H111" s="11">
        <v>3449</v>
      </c>
      <c r="I111" s="11">
        <v>32528</v>
      </c>
      <c r="K111" s="5">
        <v>43493</v>
      </c>
      <c r="L111" s="5">
        <v>44221</v>
      </c>
      <c r="M111" s="11">
        <f t="shared" ref="M111:M113" si="16">G111-B114</f>
        <v>-7676</v>
      </c>
      <c r="N111" s="11">
        <f t="shared" ref="N111:N113" si="17">H111-C114</f>
        <v>17</v>
      </c>
      <c r="O111" s="11">
        <f t="shared" ref="O111:O113" si="18">I111-D114</f>
        <v>-7659</v>
      </c>
      <c r="P111" s="8">
        <f t="shared" ref="P111:P113" si="19">G111/B114-1</f>
        <v>-0.20884233437627531</v>
      </c>
      <c r="Q111" s="8">
        <f t="shared" ref="Q111:Q113" si="20">H111/C114-1</f>
        <v>4.953379953379855E-3</v>
      </c>
      <c r="R111" s="12">
        <f t="shared" ref="R111:R113" si="21">I111/D114-1</f>
        <v>-0.19058401970786576</v>
      </c>
    </row>
    <row r="112" spans="1:18" x14ac:dyDescent="0.2">
      <c r="A112" s="5">
        <v>43491</v>
      </c>
      <c r="B112" s="11">
        <v>39006</v>
      </c>
      <c r="C112" s="11">
        <v>1074</v>
      </c>
      <c r="D112" s="11">
        <v>40080</v>
      </c>
      <c r="F112" s="5">
        <v>44222</v>
      </c>
      <c r="G112" s="11">
        <v>30503</v>
      </c>
      <c r="H112" s="11">
        <v>4010</v>
      </c>
      <c r="I112" s="11">
        <v>34513</v>
      </c>
      <c r="K112" s="5">
        <v>43494</v>
      </c>
      <c r="L112" s="5">
        <v>44222</v>
      </c>
      <c r="M112" s="11">
        <f t="shared" si="16"/>
        <v>-5310</v>
      </c>
      <c r="N112" s="11">
        <f t="shared" si="17"/>
        <v>196</v>
      </c>
      <c r="O112" s="11">
        <f t="shared" si="18"/>
        <v>-5114</v>
      </c>
      <c r="P112" s="8">
        <f t="shared" si="19"/>
        <v>-0.1482701812191104</v>
      </c>
      <c r="Q112" s="8">
        <f t="shared" si="20"/>
        <v>5.1389617199790294E-2</v>
      </c>
      <c r="R112" s="12">
        <f t="shared" si="21"/>
        <v>-0.12905342317107027</v>
      </c>
    </row>
    <row r="113" spans="1:57" x14ac:dyDescent="0.2">
      <c r="A113" s="5">
        <v>43492</v>
      </c>
      <c r="B113" s="11">
        <v>29326</v>
      </c>
      <c r="C113" s="11">
        <v>144</v>
      </c>
      <c r="D113" s="11">
        <v>29470</v>
      </c>
      <c r="F113" s="5">
        <v>44223</v>
      </c>
      <c r="G113" s="11">
        <v>29838</v>
      </c>
      <c r="H113" s="11">
        <v>3673</v>
      </c>
      <c r="I113" s="11">
        <v>33511</v>
      </c>
      <c r="K113" s="5">
        <v>43495</v>
      </c>
      <c r="L113" s="5">
        <v>44223</v>
      </c>
      <c r="M113" s="11">
        <f t="shared" si="16"/>
        <v>-8326</v>
      </c>
      <c r="N113" s="11">
        <f t="shared" si="17"/>
        <v>-218</v>
      </c>
      <c r="O113" s="11">
        <f t="shared" si="18"/>
        <v>-8544</v>
      </c>
      <c r="P113" s="8">
        <f t="shared" si="19"/>
        <v>-0.21816371449533589</v>
      </c>
      <c r="Q113" s="8">
        <f t="shared" si="20"/>
        <v>-5.6026728347468469E-2</v>
      </c>
      <c r="R113" s="12">
        <f t="shared" si="21"/>
        <v>-0.20316252526453449</v>
      </c>
    </row>
    <row r="114" spans="1:57" x14ac:dyDescent="0.2">
      <c r="A114" s="5">
        <v>43493</v>
      </c>
      <c r="B114" s="11">
        <v>36755</v>
      </c>
      <c r="C114" s="11">
        <v>3432</v>
      </c>
      <c r="D114" s="11">
        <v>40187</v>
      </c>
      <c r="F114" s="5">
        <v>44224</v>
      </c>
      <c r="G114" s="11">
        <v>31080</v>
      </c>
      <c r="H114" s="11">
        <v>3699</v>
      </c>
      <c r="I114" s="11">
        <v>34779</v>
      </c>
      <c r="K114" s="5">
        <v>43496</v>
      </c>
      <c r="L114" s="5">
        <v>44224</v>
      </c>
      <c r="M114" s="11">
        <f t="shared" ref="M114:M117" si="22">G114-B117</f>
        <v>-7452</v>
      </c>
      <c r="N114" s="11">
        <f t="shared" ref="N114:N117" si="23">H114-C117</f>
        <v>97</v>
      </c>
      <c r="O114" s="11">
        <f t="shared" ref="O114:O117" si="24">I114-D117</f>
        <v>-7355</v>
      </c>
      <c r="P114" s="8">
        <f t="shared" ref="P114:P117" si="25">G114/B117-1</f>
        <v>-0.19339769542198693</v>
      </c>
      <c r="Q114" s="8">
        <f t="shared" ref="Q114:Q117" si="26">H114/C117-1</f>
        <v>2.692948362021097E-2</v>
      </c>
      <c r="R114" s="12">
        <f t="shared" ref="R114:R117" si="27">I114/D117-1</f>
        <v>-0.17456211135899746</v>
      </c>
    </row>
    <row r="115" spans="1:57" x14ac:dyDescent="0.2">
      <c r="A115" s="5">
        <v>43494</v>
      </c>
      <c r="B115" s="11">
        <v>35813</v>
      </c>
      <c r="C115" s="11">
        <v>3814</v>
      </c>
      <c r="D115" s="11">
        <v>39627</v>
      </c>
      <c r="F115" s="5">
        <v>44225</v>
      </c>
      <c r="G115" s="11">
        <v>33563</v>
      </c>
      <c r="H115" s="11">
        <v>3788</v>
      </c>
      <c r="I115" s="11">
        <v>37351</v>
      </c>
      <c r="K115" s="5">
        <v>43497</v>
      </c>
      <c r="L115" s="5">
        <v>44225</v>
      </c>
      <c r="M115" s="11">
        <f t="shared" si="22"/>
        <v>-7427</v>
      </c>
      <c r="N115" s="11">
        <f t="shared" si="23"/>
        <v>507</v>
      </c>
      <c r="O115" s="11">
        <f t="shared" si="24"/>
        <v>-6920</v>
      </c>
      <c r="P115" s="8">
        <f t="shared" si="25"/>
        <v>-0.18119053427665288</v>
      </c>
      <c r="Q115" s="8">
        <f t="shared" si="26"/>
        <v>0.15452605912831463</v>
      </c>
      <c r="R115" s="12">
        <f t="shared" si="27"/>
        <v>-0.15630999977411852</v>
      </c>
    </row>
    <row r="116" spans="1:57" x14ac:dyDescent="0.2">
      <c r="A116" s="5">
        <v>43495</v>
      </c>
      <c r="B116" s="11">
        <v>38164</v>
      </c>
      <c r="C116" s="11">
        <v>3891</v>
      </c>
      <c r="D116" s="11">
        <v>42055</v>
      </c>
      <c r="F116" s="5">
        <v>44226</v>
      </c>
      <c r="G116" s="11">
        <v>23259</v>
      </c>
      <c r="H116" s="11">
        <v>798</v>
      </c>
      <c r="I116" s="11">
        <v>24057</v>
      </c>
      <c r="K116" s="5">
        <v>43498</v>
      </c>
      <c r="L116" s="5">
        <v>44226</v>
      </c>
      <c r="M116" s="11">
        <f t="shared" si="22"/>
        <v>-15453</v>
      </c>
      <c r="N116" s="11">
        <f t="shared" si="23"/>
        <v>-202</v>
      </c>
      <c r="O116" s="11">
        <f t="shared" si="24"/>
        <v>-15655</v>
      </c>
      <c r="P116" s="8">
        <f t="shared" si="25"/>
        <v>-0.39917854928704277</v>
      </c>
      <c r="Q116" s="8">
        <f t="shared" si="26"/>
        <v>-0.20199999999999996</v>
      </c>
      <c r="R116" s="12">
        <f t="shared" si="27"/>
        <v>-0.39421333601933928</v>
      </c>
    </row>
    <row r="117" spans="1:57" x14ac:dyDescent="0.2">
      <c r="A117" s="5">
        <v>43496</v>
      </c>
      <c r="B117" s="11">
        <v>38532</v>
      </c>
      <c r="C117" s="11">
        <v>3602</v>
      </c>
      <c r="D117" s="11">
        <v>42134</v>
      </c>
      <c r="F117" s="5">
        <v>44227</v>
      </c>
      <c r="G117" s="11">
        <v>16359</v>
      </c>
      <c r="H117" s="11">
        <v>48</v>
      </c>
      <c r="I117" s="11">
        <v>16407</v>
      </c>
      <c r="K117" s="5">
        <v>43499</v>
      </c>
      <c r="L117" s="5">
        <v>44227</v>
      </c>
      <c r="M117" s="11">
        <f t="shared" si="22"/>
        <v>-10723</v>
      </c>
      <c r="N117" s="11">
        <f t="shared" si="23"/>
        <v>-91</v>
      </c>
      <c r="O117" s="11">
        <f t="shared" si="24"/>
        <v>-10814</v>
      </c>
      <c r="P117" s="8">
        <f t="shared" si="25"/>
        <v>-0.39594564655490727</v>
      </c>
      <c r="Q117" s="8">
        <f t="shared" si="26"/>
        <v>-0.65467625899280568</v>
      </c>
      <c r="R117" s="12">
        <f t="shared" si="27"/>
        <v>-0.39726681606112924</v>
      </c>
    </row>
    <row r="118" spans="1:57" x14ac:dyDescent="0.2">
      <c r="A118" s="5">
        <v>43497</v>
      </c>
      <c r="B118" s="11">
        <v>40990</v>
      </c>
      <c r="C118" s="11">
        <v>3281</v>
      </c>
      <c r="D118" s="11">
        <v>44271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57" x14ac:dyDescent="0.2">
      <c r="A119" s="5">
        <v>43498</v>
      </c>
      <c r="B119" s="11">
        <v>38712</v>
      </c>
      <c r="C119" s="11">
        <v>1000</v>
      </c>
      <c r="D119" s="11">
        <v>39712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57" x14ac:dyDescent="0.2">
      <c r="A120" s="5">
        <v>43499</v>
      </c>
      <c r="B120" s="11">
        <v>27082</v>
      </c>
      <c r="C120" s="11">
        <v>139</v>
      </c>
      <c r="D120" s="11">
        <v>27221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57" x14ac:dyDescent="0.2">
      <c r="BC121">
        <v>0</v>
      </c>
      <c r="BD121">
        <v>0</v>
      </c>
      <c r="BE121">
        <v>0</v>
      </c>
    </row>
    <row r="122" spans="1:57" x14ac:dyDescent="0.2">
      <c r="BC122">
        <v>0</v>
      </c>
      <c r="BD122">
        <v>0</v>
      </c>
      <c r="BE122">
        <v>0</v>
      </c>
    </row>
    <row r="123" spans="1:57" x14ac:dyDescent="0.2">
      <c r="BC123">
        <v>0</v>
      </c>
      <c r="BD123">
        <v>0</v>
      </c>
      <c r="BE123">
        <v>0</v>
      </c>
    </row>
    <row r="124" spans="1:57" x14ac:dyDescent="0.2">
      <c r="BC124">
        <v>0</v>
      </c>
      <c r="BD124">
        <v>0</v>
      </c>
      <c r="BE124">
        <v>0</v>
      </c>
    </row>
    <row r="125" spans="1:57" x14ac:dyDescent="0.2">
      <c r="BC125">
        <v>0</v>
      </c>
      <c r="BD125">
        <v>0</v>
      </c>
      <c r="BE125">
        <v>0</v>
      </c>
    </row>
    <row r="126" spans="1:57" x14ac:dyDescent="0.2">
      <c r="BC126">
        <v>0</v>
      </c>
      <c r="BD126">
        <v>0</v>
      </c>
      <c r="BE126">
        <v>0</v>
      </c>
    </row>
    <row r="127" spans="1:57" x14ac:dyDescent="0.2">
      <c r="BC127">
        <v>0</v>
      </c>
      <c r="BD127">
        <v>0</v>
      </c>
      <c r="BE127">
        <v>0</v>
      </c>
    </row>
    <row r="128" spans="1:57" x14ac:dyDescent="0.2">
      <c r="BC128">
        <v>0</v>
      </c>
      <c r="BD128">
        <v>0</v>
      </c>
      <c r="BE128">
        <v>0</v>
      </c>
    </row>
    <row r="129" spans="55:57" x14ac:dyDescent="0.2">
      <c r="BC129">
        <v>0</v>
      </c>
      <c r="BD129">
        <v>0</v>
      </c>
      <c r="BE129">
        <v>0</v>
      </c>
    </row>
    <row r="130" spans="55:57" x14ac:dyDescent="0.2">
      <c r="BC130">
        <v>0</v>
      </c>
      <c r="BD130">
        <v>0</v>
      </c>
      <c r="BE130">
        <v>0</v>
      </c>
    </row>
    <row r="131" spans="55:57" x14ac:dyDescent="0.2">
      <c r="BC131">
        <v>0</v>
      </c>
      <c r="BD131">
        <v>0</v>
      </c>
      <c r="BE131">
        <v>0</v>
      </c>
    </row>
    <row r="132" spans="55:57" x14ac:dyDescent="0.2">
      <c r="BC132">
        <v>0</v>
      </c>
      <c r="BD132">
        <v>0</v>
      </c>
      <c r="BE132">
        <v>0</v>
      </c>
    </row>
    <row r="133" spans="55:57" x14ac:dyDescent="0.2">
      <c r="BC133">
        <v>0</v>
      </c>
      <c r="BD133">
        <v>0</v>
      </c>
      <c r="BE133">
        <v>0</v>
      </c>
    </row>
    <row r="134" spans="55:57" x14ac:dyDescent="0.2">
      <c r="BC134">
        <v>0</v>
      </c>
      <c r="BD134">
        <v>0</v>
      </c>
      <c r="BE134">
        <v>0</v>
      </c>
    </row>
    <row r="135" spans="55:57" x14ac:dyDescent="0.2">
      <c r="BC135">
        <v>0</v>
      </c>
      <c r="BD135">
        <v>0</v>
      </c>
      <c r="BE135">
        <v>0</v>
      </c>
    </row>
    <row r="136" spans="55:57" x14ac:dyDescent="0.2">
      <c r="BC136">
        <v>0</v>
      </c>
      <c r="BD136">
        <v>0</v>
      </c>
      <c r="BE136">
        <v>0</v>
      </c>
    </row>
    <row r="137" spans="55:57" x14ac:dyDescent="0.2">
      <c r="BC137">
        <v>0</v>
      </c>
      <c r="BD137">
        <v>0</v>
      </c>
      <c r="BE137">
        <v>0</v>
      </c>
    </row>
    <row r="138" spans="55:57" x14ac:dyDescent="0.2">
      <c r="BC138">
        <v>0</v>
      </c>
      <c r="BD138">
        <v>0</v>
      </c>
      <c r="BE138">
        <v>0</v>
      </c>
    </row>
    <row r="139" spans="55:57" x14ac:dyDescent="0.2">
      <c r="BC139">
        <v>0</v>
      </c>
      <c r="BD139">
        <v>0</v>
      </c>
      <c r="BE139">
        <v>0</v>
      </c>
    </row>
    <row r="140" spans="55:57" x14ac:dyDescent="0.2">
      <c r="BC140">
        <v>0</v>
      </c>
      <c r="BD140">
        <v>0</v>
      </c>
      <c r="BE140">
        <v>0</v>
      </c>
    </row>
    <row r="141" spans="55:57" x14ac:dyDescent="0.2">
      <c r="BC141">
        <v>0</v>
      </c>
      <c r="BD141">
        <v>0</v>
      </c>
      <c r="BE141">
        <v>0</v>
      </c>
    </row>
    <row r="142" spans="55:57" x14ac:dyDescent="0.2">
      <c r="BC142">
        <v>0</v>
      </c>
      <c r="BD142">
        <v>0</v>
      </c>
      <c r="BE142">
        <v>0</v>
      </c>
    </row>
    <row r="143" spans="55:57" x14ac:dyDescent="0.2">
      <c r="BC143">
        <v>0</v>
      </c>
      <c r="BD143">
        <v>0</v>
      </c>
      <c r="BE143">
        <v>0</v>
      </c>
    </row>
    <row r="144" spans="55:57" x14ac:dyDescent="0.2">
      <c r="BC144">
        <v>0</v>
      </c>
      <c r="BD144">
        <v>0</v>
      </c>
      <c r="BE144">
        <v>0</v>
      </c>
    </row>
    <row r="145" spans="55:57" x14ac:dyDescent="0.2">
      <c r="BC145">
        <v>0</v>
      </c>
      <c r="BD145">
        <v>0</v>
      </c>
      <c r="BE145">
        <v>0</v>
      </c>
    </row>
    <row r="146" spans="55:57" x14ac:dyDescent="0.2">
      <c r="BC146">
        <v>0</v>
      </c>
      <c r="BD146">
        <v>0</v>
      </c>
      <c r="BE146">
        <v>0</v>
      </c>
    </row>
    <row r="147" spans="55:57" x14ac:dyDescent="0.2">
      <c r="BC147">
        <v>0</v>
      </c>
      <c r="BD147">
        <v>0</v>
      </c>
      <c r="BE147">
        <v>0</v>
      </c>
    </row>
    <row r="148" spans="55:57" x14ac:dyDescent="0.2">
      <c r="BC148">
        <v>0</v>
      </c>
      <c r="BD148">
        <v>0</v>
      </c>
      <c r="BE148">
        <v>0</v>
      </c>
    </row>
    <row r="149" spans="55:57" x14ac:dyDescent="0.2">
      <c r="BC149">
        <v>0</v>
      </c>
      <c r="BD149">
        <v>0</v>
      </c>
      <c r="BE149">
        <v>0</v>
      </c>
    </row>
    <row r="150" spans="55:57" x14ac:dyDescent="0.2">
      <c r="BC150">
        <v>0</v>
      </c>
      <c r="BD150">
        <v>0</v>
      </c>
      <c r="BE150">
        <v>0</v>
      </c>
    </row>
    <row r="151" spans="55:57" x14ac:dyDescent="0.2">
      <c r="BC151">
        <v>0</v>
      </c>
      <c r="BD151">
        <v>0</v>
      </c>
      <c r="BE151">
        <v>0</v>
      </c>
    </row>
    <row r="152" spans="55:57" x14ac:dyDescent="0.2">
      <c r="BC152">
        <v>0</v>
      </c>
      <c r="BD152">
        <v>0</v>
      </c>
      <c r="BE152">
        <v>0</v>
      </c>
    </row>
    <row r="153" spans="55:57" x14ac:dyDescent="0.2">
      <c r="BC153">
        <v>0</v>
      </c>
      <c r="BD153">
        <v>0</v>
      </c>
      <c r="BE153">
        <v>0</v>
      </c>
    </row>
    <row r="154" spans="55:57" x14ac:dyDescent="0.2">
      <c r="BC154">
        <v>0</v>
      </c>
      <c r="BD154">
        <v>0</v>
      </c>
      <c r="BE154">
        <v>0</v>
      </c>
    </row>
    <row r="155" spans="55:57" x14ac:dyDescent="0.2">
      <c r="BC155">
        <v>0</v>
      </c>
      <c r="BD155">
        <v>0</v>
      </c>
      <c r="BE155">
        <v>0</v>
      </c>
    </row>
    <row r="156" spans="55:57" x14ac:dyDescent="0.2">
      <c r="BC156">
        <v>0</v>
      </c>
      <c r="BD156">
        <v>0</v>
      </c>
      <c r="BE156">
        <v>0</v>
      </c>
    </row>
    <row r="157" spans="55:57" x14ac:dyDescent="0.2">
      <c r="BC157">
        <v>0</v>
      </c>
      <c r="BD157">
        <v>0</v>
      </c>
      <c r="BE157">
        <v>0</v>
      </c>
    </row>
    <row r="158" spans="55:57" x14ac:dyDescent="0.2">
      <c r="BC158">
        <v>0</v>
      </c>
      <c r="BD158">
        <v>0</v>
      </c>
      <c r="BE158">
        <v>0</v>
      </c>
    </row>
    <row r="159" spans="55:57" x14ac:dyDescent="0.2">
      <c r="BC159">
        <v>0</v>
      </c>
      <c r="BD159">
        <v>0</v>
      </c>
      <c r="BE159">
        <v>0</v>
      </c>
    </row>
    <row r="160" spans="55:57" x14ac:dyDescent="0.2">
      <c r="BC160">
        <v>0</v>
      </c>
      <c r="BD160">
        <v>0</v>
      </c>
      <c r="BE160">
        <v>0</v>
      </c>
    </row>
    <row r="161" spans="55:57" x14ac:dyDescent="0.2">
      <c r="BC161">
        <v>0</v>
      </c>
      <c r="BD161">
        <v>0</v>
      </c>
      <c r="BE161">
        <v>0</v>
      </c>
    </row>
    <row r="162" spans="55:57" x14ac:dyDescent="0.2">
      <c r="BC162">
        <v>0</v>
      </c>
      <c r="BD162">
        <v>0</v>
      </c>
      <c r="BE162">
        <v>0</v>
      </c>
    </row>
    <row r="163" spans="55:57" x14ac:dyDescent="0.2">
      <c r="BC163">
        <v>0</v>
      </c>
      <c r="BD163">
        <v>0</v>
      </c>
      <c r="BE163">
        <v>0</v>
      </c>
    </row>
    <row r="164" spans="55:57" x14ac:dyDescent="0.2">
      <c r="BC164">
        <v>0</v>
      </c>
      <c r="BD164">
        <v>0</v>
      </c>
      <c r="BE164">
        <v>0</v>
      </c>
    </row>
    <row r="165" spans="55:57" x14ac:dyDescent="0.2">
      <c r="BC165">
        <v>0</v>
      </c>
      <c r="BD165">
        <v>0</v>
      </c>
      <c r="BE165">
        <v>0</v>
      </c>
    </row>
    <row r="166" spans="55:57" x14ac:dyDescent="0.2">
      <c r="BC166">
        <v>0</v>
      </c>
      <c r="BD166">
        <v>0</v>
      </c>
      <c r="BE166">
        <v>0</v>
      </c>
    </row>
    <row r="167" spans="55:57" x14ac:dyDescent="0.2">
      <c r="BC167">
        <v>0</v>
      </c>
      <c r="BD167">
        <v>0</v>
      </c>
      <c r="BE167">
        <v>0</v>
      </c>
    </row>
    <row r="168" spans="55:57" x14ac:dyDescent="0.2">
      <c r="BC168">
        <v>0</v>
      </c>
      <c r="BD168">
        <v>0</v>
      </c>
      <c r="BE168">
        <v>0</v>
      </c>
    </row>
    <row r="169" spans="55:57" x14ac:dyDescent="0.2">
      <c r="BC169">
        <v>0</v>
      </c>
      <c r="BD169">
        <v>0</v>
      </c>
      <c r="BE169">
        <v>0</v>
      </c>
    </row>
    <row r="170" spans="55:57" x14ac:dyDescent="0.2">
      <c r="BC170">
        <v>0</v>
      </c>
      <c r="BD170">
        <v>0</v>
      </c>
      <c r="BE170">
        <v>0</v>
      </c>
    </row>
    <row r="171" spans="55:57" x14ac:dyDescent="0.2">
      <c r="BC171">
        <v>0</v>
      </c>
      <c r="BD171">
        <v>0</v>
      </c>
      <c r="BE171">
        <v>0</v>
      </c>
    </row>
    <row r="172" spans="55:57" x14ac:dyDescent="0.2">
      <c r="BC172">
        <v>0</v>
      </c>
      <c r="BD172">
        <v>0</v>
      </c>
      <c r="BE172">
        <v>0</v>
      </c>
    </row>
    <row r="173" spans="55:57" x14ac:dyDescent="0.2">
      <c r="BC173">
        <v>0</v>
      </c>
      <c r="BD173">
        <v>0</v>
      </c>
      <c r="BE173">
        <v>0</v>
      </c>
    </row>
    <row r="174" spans="55:57" x14ac:dyDescent="0.2">
      <c r="BC174">
        <v>0</v>
      </c>
      <c r="BD174">
        <v>0</v>
      </c>
      <c r="BE174">
        <v>0</v>
      </c>
    </row>
    <row r="175" spans="55:57" x14ac:dyDescent="0.2">
      <c r="BC175">
        <v>0</v>
      </c>
      <c r="BD175">
        <v>0</v>
      </c>
      <c r="BE175">
        <v>0</v>
      </c>
    </row>
    <row r="176" spans="55:57" x14ac:dyDescent="0.2">
      <c r="BC176">
        <v>0</v>
      </c>
      <c r="BD176">
        <v>0</v>
      </c>
      <c r="BE176">
        <v>0</v>
      </c>
    </row>
    <row r="177" spans="55:57" x14ac:dyDescent="0.2">
      <c r="BC177">
        <v>0</v>
      </c>
      <c r="BD177">
        <v>0</v>
      </c>
      <c r="BE177">
        <v>0</v>
      </c>
    </row>
    <row r="178" spans="55:57" x14ac:dyDescent="0.2">
      <c r="BC178">
        <v>0</v>
      </c>
      <c r="BD178">
        <v>0</v>
      </c>
      <c r="BE178">
        <v>0</v>
      </c>
    </row>
    <row r="179" spans="55:57" x14ac:dyDescent="0.2">
      <c r="BC179">
        <v>0</v>
      </c>
      <c r="BD179">
        <v>0</v>
      </c>
      <c r="BE179">
        <v>0</v>
      </c>
    </row>
    <row r="180" spans="55:57" x14ac:dyDescent="0.2">
      <c r="BC180">
        <v>0</v>
      </c>
      <c r="BD180">
        <v>0</v>
      </c>
      <c r="BE180">
        <v>0</v>
      </c>
    </row>
    <row r="181" spans="55:57" x14ac:dyDescent="0.2">
      <c r="BC181">
        <v>0</v>
      </c>
      <c r="BD181">
        <v>0</v>
      </c>
      <c r="BE181">
        <v>0</v>
      </c>
    </row>
    <row r="182" spans="55:57" x14ac:dyDescent="0.2">
      <c r="BC182">
        <v>0</v>
      </c>
      <c r="BD182">
        <v>0</v>
      </c>
      <c r="BE182">
        <v>0</v>
      </c>
    </row>
    <row r="183" spans="55:57" x14ac:dyDescent="0.2">
      <c r="BC183">
        <v>0</v>
      </c>
      <c r="BD183">
        <v>0</v>
      </c>
      <c r="BE183">
        <v>0</v>
      </c>
    </row>
    <row r="184" spans="55:57" x14ac:dyDescent="0.2">
      <c r="BC184">
        <v>0</v>
      </c>
      <c r="BD184">
        <v>0</v>
      </c>
      <c r="BE184">
        <v>0</v>
      </c>
    </row>
    <row r="185" spans="55:57" x14ac:dyDescent="0.2">
      <c r="BC185">
        <v>0</v>
      </c>
      <c r="BD185">
        <v>0</v>
      </c>
      <c r="BE185">
        <v>0</v>
      </c>
    </row>
    <row r="186" spans="55:57" x14ac:dyDescent="0.2">
      <c r="BC186">
        <v>0</v>
      </c>
      <c r="BD186">
        <v>0</v>
      </c>
      <c r="BE186">
        <v>0</v>
      </c>
    </row>
    <row r="187" spans="55:57" x14ac:dyDescent="0.2">
      <c r="BC187">
        <v>0</v>
      </c>
      <c r="BD187">
        <v>0</v>
      </c>
      <c r="BE187">
        <v>0</v>
      </c>
    </row>
    <row r="188" spans="55:57" x14ac:dyDescent="0.2">
      <c r="BC188">
        <v>0</v>
      </c>
      <c r="BD188">
        <v>0</v>
      </c>
      <c r="BE188">
        <v>0</v>
      </c>
    </row>
    <row r="189" spans="55:57" x14ac:dyDescent="0.2">
      <c r="BC189">
        <v>0</v>
      </c>
      <c r="BD189">
        <v>0</v>
      </c>
      <c r="BE189">
        <v>0</v>
      </c>
    </row>
    <row r="190" spans="55:57" x14ac:dyDescent="0.2">
      <c r="BC190">
        <v>0</v>
      </c>
      <c r="BD190">
        <v>0</v>
      </c>
      <c r="BE190">
        <v>0</v>
      </c>
    </row>
    <row r="191" spans="55:57" x14ac:dyDescent="0.2">
      <c r="BC191">
        <v>0</v>
      </c>
      <c r="BD191">
        <v>0</v>
      </c>
      <c r="BE191">
        <v>0</v>
      </c>
    </row>
    <row r="192" spans="55:57" x14ac:dyDescent="0.2">
      <c r="BC192">
        <v>0</v>
      </c>
      <c r="BD192">
        <v>0</v>
      </c>
      <c r="BE192">
        <v>0</v>
      </c>
    </row>
    <row r="193" spans="55:57" x14ac:dyDescent="0.2">
      <c r="BC193">
        <v>0</v>
      </c>
      <c r="BD193">
        <v>0</v>
      </c>
      <c r="BE193">
        <v>0</v>
      </c>
    </row>
    <row r="194" spans="55:57" x14ac:dyDescent="0.2">
      <c r="BC194">
        <v>0</v>
      </c>
      <c r="BD194">
        <v>0</v>
      </c>
      <c r="BE194">
        <v>0</v>
      </c>
    </row>
    <row r="195" spans="55:57" x14ac:dyDescent="0.2">
      <c r="BC195">
        <v>0</v>
      </c>
      <c r="BD195">
        <v>0</v>
      </c>
      <c r="BE195">
        <v>0</v>
      </c>
    </row>
    <row r="196" spans="55:57" x14ac:dyDescent="0.2">
      <c r="BC196">
        <v>0</v>
      </c>
      <c r="BD196">
        <v>0</v>
      </c>
      <c r="BE196">
        <v>0</v>
      </c>
    </row>
    <row r="197" spans="55:57" x14ac:dyDescent="0.2">
      <c r="BC197">
        <v>0</v>
      </c>
      <c r="BD197">
        <v>0</v>
      </c>
      <c r="BE197">
        <v>0</v>
      </c>
    </row>
    <row r="198" spans="55:57" x14ac:dyDescent="0.2">
      <c r="BC198">
        <v>0</v>
      </c>
      <c r="BD198">
        <v>0</v>
      </c>
      <c r="BE198">
        <v>0</v>
      </c>
    </row>
    <row r="199" spans="55:57" x14ac:dyDescent="0.2">
      <c r="BC199">
        <v>0</v>
      </c>
      <c r="BD199">
        <v>0</v>
      </c>
      <c r="BE199">
        <v>0</v>
      </c>
    </row>
    <row r="200" spans="55:57" x14ac:dyDescent="0.2">
      <c r="BC200">
        <v>0</v>
      </c>
      <c r="BD200">
        <v>0</v>
      </c>
      <c r="BE200">
        <v>0</v>
      </c>
    </row>
    <row r="201" spans="55:57" x14ac:dyDescent="0.2">
      <c r="BC201">
        <v>0</v>
      </c>
      <c r="BD201">
        <v>0</v>
      </c>
      <c r="BE201">
        <v>0</v>
      </c>
    </row>
    <row r="202" spans="55:57" x14ac:dyDescent="0.2">
      <c r="BC202">
        <v>0</v>
      </c>
      <c r="BD202">
        <v>0</v>
      </c>
      <c r="BE202">
        <v>0</v>
      </c>
    </row>
    <row r="203" spans="55:57" x14ac:dyDescent="0.2">
      <c r="BC203">
        <v>0</v>
      </c>
      <c r="BD203">
        <v>0</v>
      </c>
      <c r="BE203">
        <v>0</v>
      </c>
    </row>
    <row r="204" spans="55:57" x14ac:dyDescent="0.2">
      <c r="BC204">
        <v>0</v>
      </c>
      <c r="BD204">
        <v>0</v>
      </c>
      <c r="BE204">
        <v>0</v>
      </c>
    </row>
    <row r="205" spans="55:57" x14ac:dyDescent="0.2">
      <c r="BC205">
        <v>0</v>
      </c>
      <c r="BD205">
        <v>0</v>
      </c>
      <c r="BE205">
        <v>0</v>
      </c>
    </row>
    <row r="206" spans="55:57" x14ac:dyDescent="0.2">
      <c r="BC206">
        <v>0</v>
      </c>
      <c r="BD206">
        <v>0</v>
      </c>
      <c r="BE206">
        <v>0</v>
      </c>
    </row>
    <row r="207" spans="55:57" x14ac:dyDescent="0.2">
      <c r="BC207">
        <v>0</v>
      </c>
      <c r="BD207">
        <v>0</v>
      </c>
      <c r="BE207">
        <v>0</v>
      </c>
    </row>
    <row r="208" spans="55:57" x14ac:dyDescent="0.2">
      <c r="BC208">
        <v>0</v>
      </c>
      <c r="BD208">
        <v>0</v>
      </c>
      <c r="BE208">
        <v>0</v>
      </c>
    </row>
    <row r="209" spans="55:57" x14ac:dyDescent="0.2">
      <c r="BC209">
        <v>0</v>
      </c>
      <c r="BD209">
        <v>0</v>
      </c>
      <c r="BE209">
        <v>0</v>
      </c>
    </row>
    <row r="210" spans="55:57" x14ac:dyDescent="0.2">
      <c r="BC210">
        <v>0</v>
      </c>
      <c r="BD210">
        <v>0</v>
      </c>
      <c r="BE210">
        <v>0</v>
      </c>
    </row>
    <row r="211" spans="55:57" x14ac:dyDescent="0.2">
      <c r="BC211">
        <v>0</v>
      </c>
      <c r="BD211">
        <v>0</v>
      </c>
      <c r="BE211">
        <v>0</v>
      </c>
    </row>
    <row r="212" spans="55:57" x14ac:dyDescent="0.2">
      <c r="BC212">
        <v>0</v>
      </c>
      <c r="BD212">
        <v>0</v>
      </c>
      <c r="BE212">
        <v>0</v>
      </c>
    </row>
    <row r="213" spans="55:57" x14ac:dyDescent="0.2">
      <c r="BC213">
        <v>0</v>
      </c>
      <c r="BD213">
        <v>0</v>
      </c>
      <c r="BE213">
        <v>0</v>
      </c>
    </row>
    <row r="214" spans="55:57" x14ac:dyDescent="0.2">
      <c r="BC214">
        <v>0</v>
      </c>
      <c r="BD214">
        <v>0</v>
      </c>
      <c r="BE214">
        <v>0</v>
      </c>
    </row>
    <row r="215" spans="55:57" x14ac:dyDescent="0.2">
      <c r="BC215">
        <v>0</v>
      </c>
      <c r="BD215">
        <v>0</v>
      </c>
      <c r="BE215">
        <v>0</v>
      </c>
    </row>
    <row r="216" spans="55:57" x14ac:dyDescent="0.2">
      <c r="BC216">
        <v>0</v>
      </c>
      <c r="BD216">
        <v>0</v>
      </c>
      <c r="BE216">
        <v>0</v>
      </c>
    </row>
    <row r="217" spans="55:57" x14ac:dyDescent="0.2">
      <c r="BC217">
        <v>0</v>
      </c>
      <c r="BD217">
        <v>0</v>
      </c>
      <c r="BE217">
        <v>0</v>
      </c>
    </row>
    <row r="218" spans="55:57" x14ac:dyDescent="0.2">
      <c r="BC218">
        <v>0</v>
      </c>
      <c r="BD218">
        <v>0</v>
      </c>
      <c r="BE218">
        <v>0</v>
      </c>
    </row>
    <row r="219" spans="55:57" x14ac:dyDescent="0.2">
      <c r="BC219">
        <v>0</v>
      </c>
      <c r="BD219">
        <v>0</v>
      </c>
      <c r="BE219">
        <v>0</v>
      </c>
    </row>
    <row r="220" spans="55:57" x14ac:dyDescent="0.2">
      <c r="BC220">
        <v>0</v>
      </c>
      <c r="BD220">
        <v>0</v>
      </c>
      <c r="BE220">
        <v>0</v>
      </c>
    </row>
    <row r="221" spans="55:57" x14ac:dyDescent="0.2">
      <c r="BC221">
        <v>0</v>
      </c>
      <c r="BD221">
        <v>0</v>
      </c>
      <c r="BE221">
        <v>0</v>
      </c>
    </row>
    <row r="222" spans="55:57" x14ac:dyDescent="0.2">
      <c r="BC222">
        <v>0</v>
      </c>
      <c r="BD222">
        <v>0</v>
      </c>
      <c r="BE222">
        <v>0</v>
      </c>
    </row>
    <row r="223" spans="55:57" x14ac:dyDescent="0.2">
      <c r="BC223">
        <v>0</v>
      </c>
      <c r="BD223">
        <v>0</v>
      </c>
      <c r="BE223">
        <v>0</v>
      </c>
    </row>
    <row r="224" spans="55:57" x14ac:dyDescent="0.2">
      <c r="BC224">
        <v>0</v>
      </c>
      <c r="BD224">
        <v>0</v>
      </c>
      <c r="BE224">
        <v>0</v>
      </c>
    </row>
    <row r="225" spans="55:57" x14ac:dyDescent="0.2">
      <c r="BC225">
        <v>0</v>
      </c>
      <c r="BD225">
        <v>0</v>
      </c>
      <c r="BE225">
        <v>0</v>
      </c>
    </row>
    <row r="226" spans="55:57" x14ac:dyDescent="0.2">
      <c r="BC226">
        <v>0</v>
      </c>
      <c r="BD226">
        <v>0</v>
      </c>
      <c r="BE226">
        <v>0</v>
      </c>
    </row>
    <row r="227" spans="55:57" x14ac:dyDescent="0.2">
      <c r="BC227">
        <v>0</v>
      </c>
      <c r="BD227">
        <v>0</v>
      </c>
      <c r="BE227">
        <v>0</v>
      </c>
    </row>
    <row r="228" spans="55:57" x14ac:dyDescent="0.2">
      <c r="BC228">
        <v>0</v>
      </c>
      <c r="BD228">
        <v>0</v>
      </c>
      <c r="BE228">
        <v>0</v>
      </c>
    </row>
    <row r="229" spans="55:57" x14ac:dyDescent="0.2">
      <c r="BC229">
        <v>0</v>
      </c>
      <c r="BD229">
        <v>0</v>
      </c>
      <c r="BE229">
        <v>0</v>
      </c>
    </row>
    <row r="230" spans="55:57" x14ac:dyDescent="0.2">
      <c r="BC230">
        <v>0</v>
      </c>
      <c r="BD230">
        <v>0</v>
      </c>
      <c r="BE230">
        <v>0</v>
      </c>
    </row>
    <row r="231" spans="55:57" x14ac:dyDescent="0.2">
      <c r="BC231">
        <v>0</v>
      </c>
      <c r="BD231">
        <v>0</v>
      </c>
      <c r="BE231">
        <v>0</v>
      </c>
    </row>
    <row r="232" spans="55:57" x14ac:dyDescent="0.2">
      <c r="BC232">
        <v>0</v>
      </c>
      <c r="BD232">
        <v>0</v>
      </c>
      <c r="BE232">
        <v>0</v>
      </c>
    </row>
    <row r="233" spans="55:57" x14ac:dyDescent="0.2">
      <c r="BC233">
        <v>0</v>
      </c>
      <c r="BD233">
        <v>0</v>
      </c>
      <c r="BE233">
        <v>0</v>
      </c>
    </row>
    <row r="234" spans="55:57" x14ac:dyDescent="0.2">
      <c r="BC234">
        <v>0</v>
      </c>
      <c r="BD234">
        <v>0</v>
      </c>
      <c r="BE234">
        <v>0</v>
      </c>
    </row>
    <row r="235" spans="55:57" x14ac:dyDescent="0.2">
      <c r="BC235">
        <v>0</v>
      </c>
      <c r="BD235">
        <v>0</v>
      </c>
      <c r="BE235">
        <v>0</v>
      </c>
    </row>
    <row r="236" spans="55:57" x14ac:dyDescent="0.2">
      <c r="BC236">
        <v>0</v>
      </c>
      <c r="BD236">
        <v>0</v>
      </c>
      <c r="BE236">
        <v>0</v>
      </c>
    </row>
    <row r="237" spans="55:57" x14ac:dyDescent="0.2">
      <c r="BC237">
        <v>0</v>
      </c>
      <c r="BD237">
        <v>0</v>
      </c>
      <c r="BE237">
        <v>0</v>
      </c>
    </row>
    <row r="238" spans="55:57" x14ac:dyDescent="0.2">
      <c r="BC238">
        <v>0</v>
      </c>
      <c r="BD238">
        <v>0</v>
      </c>
      <c r="BE238">
        <v>0</v>
      </c>
    </row>
    <row r="239" spans="55:57" x14ac:dyDescent="0.2">
      <c r="BC239">
        <v>0</v>
      </c>
      <c r="BD239">
        <v>0</v>
      </c>
      <c r="BE239">
        <v>0</v>
      </c>
    </row>
    <row r="240" spans="55:57" x14ac:dyDescent="0.2">
      <c r="BC240">
        <v>0</v>
      </c>
      <c r="BD240">
        <v>0</v>
      </c>
      <c r="BE240">
        <v>0</v>
      </c>
    </row>
    <row r="241" spans="55:57" x14ac:dyDescent="0.2">
      <c r="BC241">
        <v>0</v>
      </c>
      <c r="BD241">
        <v>0</v>
      </c>
      <c r="BE241">
        <v>0</v>
      </c>
    </row>
    <row r="242" spans="55:57" x14ac:dyDescent="0.2">
      <c r="BC242">
        <v>0</v>
      </c>
      <c r="BD242">
        <v>0</v>
      </c>
      <c r="BE242">
        <v>0</v>
      </c>
    </row>
    <row r="243" spans="55:57" x14ac:dyDescent="0.2">
      <c r="BC243">
        <v>0</v>
      </c>
      <c r="BD243">
        <v>0</v>
      </c>
      <c r="BE243">
        <v>0</v>
      </c>
    </row>
    <row r="244" spans="55:57" x14ac:dyDescent="0.2">
      <c r="BC244">
        <v>0</v>
      </c>
      <c r="BD244">
        <v>0</v>
      </c>
      <c r="BE244">
        <v>0</v>
      </c>
    </row>
    <row r="245" spans="55:57" x14ac:dyDescent="0.2">
      <c r="BC245">
        <v>0</v>
      </c>
      <c r="BD245">
        <v>0</v>
      </c>
      <c r="BE245">
        <v>0</v>
      </c>
    </row>
    <row r="246" spans="55:57" x14ac:dyDescent="0.2">
      <c r="BC246">
        <v>0</v>
      </c>
      <c r="BD246">
        <v>0</v>
      </c>
      <c r="BE246">
        <v>0</v>
      </c>
    </row>
    <row r="247" spans="55:57" x14ac:dyDescent="0.2">
      <c r="BC247">
        <v>0</v>
      </c>
      <c r="BD247">
        <v>0</v>
      </c>
      <c r="BE247">
        <v>0</v>
      </c>
    </row>
    <row r="248" spans="55:57" x14ac:dyDescent="0.2">
      <c r="BC248">
        <v>0</v>
      </c>
      <c r="BD248">
        <v>0</v>
      </c>
      <c r="BE248">
        <v>0</v>
      </c>
    </row>
    <row r="249" spans="55:57" x14ac:dyDescent="0.2">
      <c r="BC249">
        <v>0</v>
      </c>
      <c r="BD249">
        <v>0</v>
      </c>
      <c r="BE249">
        <v>0</v>
      </c>
    </row>
    <row r="250" spans="55:57" x14ac:dyDescent="0.2">
      <c r="BC250">
        <v>0</v>
      </c>
      <c r="BD250">
        <v>0</v>
      </c>
      <c r="BE250">
        <v>0</v>
      </c>
    </row>
    <row r="251" spans="55:57" x14ac:dyDescent="0.2">
      <c r="BC251">
        <v>0</v>
      </c>
      <c r="BD251">
        <v>0</v>
      </c>
      <c r="BE251">
        <v>0</v>
      </c>
    </row>
    <row r="252" spans="55:57" x14ac:dyDescent="0.2">
      <c r="BC252">
        <v>0</v>
      </c>
      <c r="BD252">
        <v>0</v>
      </c>
      <c r="BE252">
        <v>0</v>
      </c>
    </row>
    <row r="253" spans="55:57" x14ac:dyDescent="0.2">
      <c r="BC253">
        <v>0</v>
      </c>
      <c r="BD253">
        <v>0</v>
      </c>
      <c r="BE253">
        <v>0</v>
      </c>
    </row>
    <row r="254" spans="55:57" x14ac:dyDescent="0.2">
      <c r="BC254">
        <v>0</v>
      </c>
      <c r="BD254">
        <v>0</v>
      </c>
      <c r="BE254">
        <v>0</v>
      </c>
    </row>
    <row r="255" spans="55:57" x14ac:dyDescent="0.2">
      <c r="BC255">
        <v>0</v>
      </c>
      <c r="BD255">
        <v>0</v>
      </c>
      <c r="BE255">
        <v>0</v>
      </c>
    </row>
    <row r="256" spans="55:57" x14ac:dyDescent="0.2">
      <c r="BC256">
        <v>0</v>
      </c>
      <c r="BD256">
        <v>0</v>
      </c>
      <c r="BE256">
        <v>0</v>
      </c>
    </row>
    <row r="257" spans="55:57" x14ac:dyDescent="0.2">
      <c r="BC257">
        <v>0</v>
      </c>
      <c r="BD257">
        <v>0</v>
      </c>
      <c r="BE257">
        <v>0</v>
      </c>
    </row>
    <row r="258" spans="55:57" x14ac:dyDescent="0.2">
      <c r="BC258">
        <v>0</v>
      </c>
      <c r="BD258">
        <v>0</v>
      </c>
      <c r="BE258">
        <v>0</v>
      </c>
    </row>
    <row r="259" spans="55:57" x14ac:dyDescent="0.2">
      <c r="BC259">
        <v>0</v>
      </c>
      <c r="BD259">
        <v>0</v>
      </c>
      <c r="BE259">
        <v>0</v>
      </c>
    </row>
    <row r="260" spans="55:57" x14ac:dyDescent="0.2">
      <c r="BC260">
        <v>0</v>
      </c>
      <c r="BD260">
        <v>0</v>
      </c>
      <c r="BE260">
        <v>0</v>
      </c>
    </row>
    <row r="261" spans="55:57" x14ac:dyDescent="0.2">
      <c r="BC261">
        <v>0</v>
      </c>
      <c r="BD261">
        <v>0</v>
      </c>
      <c r="BE261">
        <v>0</v>
      </c>
    </row>
    <row r="262" spans="55:57" x14ac:dyDescent="0.2">
      <c r="BC262">
        <v>0</v>
      </c>
      <c r="BD262">
        <v>0</v>
      </c>
      <c r="BE262">
        <v>0</v>
      </c>
    </row>
    <row r="263" spans="55:57" x14ac:dyDescent="0.2">
      <c r="BC263">
        <v>0</v>
      </c>
      <c r="BD263">
        <v>0</v>
      </c>
      <c r="BE263">
        <v>0</v>
      </c>
    </row>
    <row r="264" spans="55:57" x14ac:dyDescent="0.2">
      <c r="BC264">
        <v>0</v>
      </c>
      <c r="BD264">
        <v>0</v>
      </c>
      <c r="BE264">
        <v>0</v>
      </c>
    </row>
    <row r="265" spans="55:57" x14ac:dyDescent="0.2">
      <c r="BC265">
        <v>0</v>
      </c>
      <c r="BD265">
        <v>0</v>
      </c>
      <c r="BE265">
        <v>0</v>
      </c>
    </row>
    <row r="266" spans="55:57" x14ac:dyDescent="0.2">
      <c r="BC266">
        <v>0</v>
      </c>
      <c r="BD266">
        <v>0</v>
      </c>
      <c r="BE266">
        <v>0</v>
      </c>
    </row>
    <row r="267" spans="55:57" x14ac:dyDescent="0.2">
      <c r="BC267">
        <v>0</v>
      </c>
      <c r="BD267">
        <v>0</v>
      </c>
      <c r="BE267">
        <v>0</v>
      </c>
    </row>
    <row r="268" spans="55:57" x14ac:dyDescent="0.2">
      <c r="BC268">
        <v>0</v>
      </c>
      <c r="BD268">
        <v>0</v>
      </c>
      <c r="BE268">
        <v>0</v>
      </c>
    </row>
    <row r="269" spans="55:57" x14ac:dyDescent="0.2">
      <c r="BC269">
        <v>0</v>
      </c>
      <c r="BD269">
        <v>0</v>
      </c>
      <c r="BE269">
        <v>0</v>
      </c>
    </row>
    <row r="270" spans="55:57" x14ac:dyDescent="0.2">
      <c r="BC270">
        <v>0</v>
      </c>
      <c r="BD270">
        <v>0</v>
      </c>
      <c r="BE270">
        <v>0</v>
      </c>
    </row>
    <row r="271" spans="55:57" x14ac:dyDescent="0.2">
      <c r="BC271">
        <v>0</v>
      </c>
      <c r="BD271">
        <v>0</v>
      </c>
      <c r="BE271">
        <v>0</v>
      </c>
    </row>
    <row r="272" spans="55:57" x14ac:dyDescent="0.2">
      <c r="BC272">
        <v>0</v>
      </c>
      <c r="BD272">
        <v>0</v>
      </c>
      <c r="BE272">
        <v>0</v>
      </c>
    </row>
    <row r="273" spans="55:57" x14ac:dyDescent="0.2">
      <c r="BC273">
        <v>0</v>
      </c>
      <c r="BD273">
        <v>0</v>
      </c>
      <c r="BE273">
        <v>0</v>
      </c>
    </row>
    <row r="274" spans="55:57" x14ac:dyDescent="0.2">
      <c r="BC274">
        <v>0</v>
      </c>
      <c r="BD274">
        <v>0</v>
      </c>
      <c r="BE274">
        <v>0</v>
      </c>
    </row>
    <row r="275" spans="55:57" x14ac:dyDescent="0.2">
      <c r="BC275">
        <v>0</v>
      </c>
      <c r="BD275">
        <v>0</v>
      </c>
      <c r="BE275">
        <v>0</v>
      </c>
    </row>
    <row r="276" spans="55:57" x14ac:dyDescent="0.2">
      <c r="BC276">
        <v>0</v>
      </c>
      <c r="BD276">
        <v>0</v>
      </c>
      <c r="BE276">
        <v>0</v>
      </c>
    </row>
    <row r="277" spans="55:57" x14ac:dyDescent="0.2">
      <c r="BC277">
        <v>0</v>
      </c>
      <c r="BD277">
        <v>0</v>
      </c>
      <c r="BE277">
        <v>0</v>
      </c>
    </row>
    <row r="278" spans="55:57" x14ac:dyDescent="0.2">
      <c r="BC278">
        <v>0</v>
      </c>
      <c r="BD278">
        <v>0</v>
      </c>
      <c r="BE278">
        <v>0</v>
      </c>
    </row>
    <row r="279" spans="55:57" x14ac:dyDescent="0.2">
      <c r="BC279">
        <v>0</v>
      </c>
      <c r="BD279">
        <v>0</v>
      </c>
      <c r="BE279">
        <v>0</v>
      </c>
    </row>
    <row r="280" spans="55:57" x14ac:dyDescent="0.2">
      <c r="BC280">
        <v>0</v>
      </c>
      <c r="BD280">
        <v>0</v>
      </c>
      <c r="BE280">
        <v>0</v>
      </c>
    </row>
    <row r="281" spans="55:57" x14ac:dyDescent="0.2">
      <c r="BC281">
        <v>0</v>
      </c>
      <c r="BD281">
        <v>0</v>
      </c>
      <c r="BE281">
        <v>0</v>
      </c>
    </row>
    <row r="282" spans="55:57" x14ac:dyDescent="0.2">
      <c r="BC282">
        <v>0</v>
      </c>
      <c r="BD282">
        <v>0</v>
      </c>
      <c r="BE282">
        <v>0</v>
      </c>
    </row>
    <row r="283" spans="55:57" x14ac:dyDescent="0.2">
      <c r="BC283">
        <v>0</v>
      </c>
      <c r="BD283">
        <v>0</v>
      </c>
      <c r="BE283">
        <v>0</v>
      </c>
    </row>
    <row r="284" spans="55:57" x14ac:dyDescent="0.2">
      <c r="BC284">
        <v>0</v>
      </c>
      <c r="BD284">
        <v>0</v>
      </c>
      <c r="BE284">
        <v>0</v>
      </c>
    </row>
    <row r="285" spans="55:57" x14ac:dyDescent="0.2">
      <c r="BC285">
        <v>0</v>
      </c>
      <c r="BD285">
        <v>0</v>
      </c>
      <c r="BE285">
        <v>0</v>
      </c>
    </row>
    <row r="286" spans="55:57" x14ac:dyDescent="0.2">
      <c r="BC286">
        <v>0</v>
      </c>
      <c r="BD286">
        <v>0</v>
      </c>
      <c r="BE286">
        <v>0</v>
      </c>
    </row>
    <row r="287" spans="55:57" x14ac:dyDescent="0.2">
      <c r="BC287">
        <v>0</v>
      </c>
      <c r="BD287">
        <v>0</v>
      </c>
      <c r="BE287">
        <v>0</v>
      </c>
    </row>
    <row r="288" spans="55:57" x14ac:dyDescent="0.2">
      <c r="BC288">
        <v>0</v>
      </c>
      <c r="BD288">
        <v>0</v>
      </c>
      <c r="BE288">
        <v>0</v>
      </c>
    </row>
    <row r="289" spans="55:57" x14ac:dyDescent="0.2">
      <c r="BC289">
        <v>0</v>
      </c>
      <c r="BD289">
        <v>0</v>
      </c>
      <c r="BE289">
        <v>0</v>
      </c>
    </row>
    <row r="290" spans="55:57" x14ac:dyDescent="0.2">
      <c r="BC290">
        <v>0</v>
      </c>
      <c r="BD290">
        <v>0</v>
      </c>
      <c r="BE290">
        <v>0</v>
      </c>
    </row>
    <row r="291" spans="55:57" x14ac:dyDescent="0.2">
      <c r="BC291">
        <v>0</v>
      </c>
      <c r="BD291">
        <v>0</v>
      </c>
      <c r="BE291">
        <v>0</v>
      </c>
    </row>
    <row r="292" spans="55:57" x14ac:dyDescent="0.2">
      <c r="BC292">
        <v>0</v>
      </c>
      <c r="BD292">
        <v>0</v>
      </c>
      <c r="BE292">
        <v>0</v>
      </c>
    </row>
    <row r="293" spans="55:57" x14ac:dyDescent="0.2">
      <c r="BC293">
        <v>0</v>
      </c>
      <c r="BD293">
        <v>0</v>
      </c>
      <c r="BE293">
        <v>0</v>
      </c>
    </row>
    <row r="294" spans="55:57" x14ac:dyDescent="0.2">
      <c r="BC294">
        <v>0</v>
      </c>
      <c r="BD294">
        <v>0</v>
      </c>
      <c r="BE294">
        <v>0</v>
      </c>
    </row>
    <row r="295" spans="55:57" x14ac:dyDescent="0.2">
      <c r="BC295">
        <v>0</v>
      </c>
      <c r="BD295">
        <v>0</v>
      </c>
      <c r="BE295">
        <v>0</v>
      </c>
    </row>
    <row r="296" spans="55:57" x14ac:dyDescent="0.2">
      <c r="BC296">
        <v>0</v>
      </c>
      <c r="BD296">
        <v>0</v>
      </c>
      <c r="BE296">
        <v>0</v>
      </c>
    </row>
    <row r="297" spans="55:57" x14ac:dyDescent="0.2">
      <c r="BC297">
        <v>0</v>
      </c>
      <c r="BD297">
        <v>0</v>
      </c>
      <c r="BE297">
        <v>0</v>
      </c>
    </row>
    <row r="298" spans="55:57" x14ac:dyDescent="0.2">
      <c r="BC298">
        <v>0</v>
      </c>
      <c r="BD298">
        <v>0</v>
      </c>
      <c r="BE298">
        <v>0</v>
      </c>
    </row>
    <row r="299" spans="55:57" x14ac:dyDescent="0.2">
      <c r="BC299">
        <v>0</v>
      </c>
      <c r="BD299">
        <v>0</v>
      </c>
      <c r="BE299">
        <v>0</v>
      </c>
    </row>
    <row r="300" spans="55:57" x14ac:dyDescent="0.2">
      <c r="BC300">
        <v>0</v>
      </c>
      <c r="BD300">
        <v>0</v>
      </c>
      <c r="BE300">
        <v>0</v>
      </c>
    </row>
    <row r="301" spans="55:57" x14ac:dyDescent="0.2">
      <c r="BC301">
        <v>0</v>
      </c>
      <c r="BD301">
        <v>0</v>
      </c>
      <c r="BE301">
        <v>0</v>
      </c>
    </row>
    <row r="302" spans="55:57" x14ac:dyDescent="0.2">
      <c r="BC302">
        <v>0</v>
      </c>
      <c r="BD302">
        <v>0</v>
      </c>
      <c r="BE302">
        <v>0</v>
      </c>
    </row>
    <row r="303" spans="55:57" x14ac:dyDescent="0.2">
      <c r="BC303">
        <v>0</v>
      </c>
      <c r="BD303">
        <v>0</v>
      </c>
      <c r="BE303">
        <v>0</v>
      </c>
    </row>
    <row r="304" spans="55:57" x14ac:dyDescent="0.2">
      <c r="BC304">
        <v>0</v>
      </c>
      <c r="BD304">
        <v>0</v>
      </c>
      <c r="BE304">
        <v>0</v>
      </c>
    </row>
    <row r="305" spans="55:57" x14ac:dyDescent="0.2">
      <c r="BC305">
        <v>0</v>
      </c>
      <c r="BD305">
        <v>0</v>
      </c>
      <c r="BE305">
        <v>0</v>
      </c>
    </row>
    <row r="306" spans="55:57" x14ac:dyDescent="0.2">
      <c r="BC306">
        <v>0</v>
      </c>
      <c r="BD306">
        <v>0</v>
      </c>
      <c r="BE306">
        <v>0</v>
      </c>
    </row>
    <row r="307" spans="55:57" x14ac:dyDescent="0.2">
      <c r="BC307">
        <v>0</v>
      </c>
      <c r="BD307">
        <v>0</v>
      </c>
      <c r="BE307">
        <v>0</v>
      </c>
    </row>
    <row r="308" spans="55:57" x14ac:dyDescent="0.2">
      <c r="BC308">
        <v>0</v>
      </c>
      <c r="BD308">
        <v>0</v>
      </c>
      <c r="BE308">
        <v>0</v>
      </c>
    </row>
    <row r="309" spans="55:57" x14ac:dyDescent="0.2">
      <c r="BC309">
        <v>0</v>
      </c>
      <c r="BD309">
        <v>0</v>
      </c>
      <c r="BE309">
        <v>0</v>
      </c>
    </row>
    <row r="310" spans="55:57" x14ac:dyDescent="0.2">
      <c r="BC310">
        <v>0</v>
      </c>
      <c r="BD310">
        <v>0</v>
      </c>
      <c r="BE310">
        <v>0</v>
      </c>
    </row>
    <row r="311" spans="55:57" x14ac:dyDescent="0.2">
      <c r="BC311">
        <v>0</v>
      </c>
      <c r="BD311">
        <v>0</v>
      </c>
      <c r="BE311">
        <v>0</v>
      </c>
    </row>
    <row r="312" spans="55:57" x14ac:dyDescent="0.2">
      <c r="BC312">
        <v>0</v>
      </c>
      <c r="BD312">
        <v>0</v>
      </c>
      <c r="BE312">
        <v>0</v>
      </c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R120"/>
  <sheetViews>
    <sheetView zoomScale="70" zoomScaleNormal="70" workbookViewId="0"/>
  </sheetViews>
  <sheetFormatPr baseColWidth="10" defaultRowHeight="12.75" x14ac:dyDescent="0.2"/>
  <cols>
    <col min="1" max="1" width="29.42578125" customWidth="1"/>
    <col min="2" max="2" width="12.85546875" bestFit="1" customWidth="1"/>
    <col min="3" max="3" width="7.42578125" bestFit="1" customWidth="1"/>
    <col min="4" max="4" width="15.85546875" bestFit="1" customWidth="1"/>
    <col min="5" max="5" width="1.140625" customWidth="1"/>
    <col min="6" max="6" width="30" customWidth="1"/>
    <col min="7" max="7" width="12.85546875" bestFit="1" customWidth="1"/>
    <col min="8" max="8" width="7.42578125" bestFit="1" customWidth="1"/>
    <col min="9" max="9" width="15.85546875" bestFit="1" customWidth="1"/>
    <col min="10" max="10" width="0.85546875" customWidth="1"/>
    <col min="11" max="11" width="29.42578125" customWidth="1"/>
    <col min="12" max="12" width="29.5703125" customWidth="1"/>
    <col min="13" max="13" width="12.85546875" bestFit="1" customWidth="1"/>
    <col min="14" max="14" width="7.42578125" bestFit="1" customWidth="1"/>
    <col min="15" max="15" width="15.85546875" bestFit="1" customWidth="1"/>
    <col min="16" max="16" width="12.85546875" bestFit="1" customWidth="1"/>
    <col min="17" max="17" width="7.140625" bestFit="1" customWidth="1"/>
    <col min="18" max="18" width="15.85546875" style="9" bestFit="1" customWidth="1"/>
  </cols>
  <sheetData>
    <row r="1" spans="1:18" ht="15.75" x14ac:dyDescent="0.25">
      <c r="A1" s="10" t="s">
        <v>53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1" t="s">
        <v>47</v>
      </c>
      <c r="B6" s="22"/>
      <c r="C6" s="22"/>
      <c r="D6" s="22"/>
      <c r="E6" s="17"/>
      <c r="F6" s="17"/>
      <c r="G6" s="17"/>
    </row>
    <row r="7" spans="1:18" ht="15" x14ac:dyDescent="0.2">
      <c r="A7" s="21" t="s">
        <v>48</v>
      </c>
      <c r="B7" s="22"/>
      <c r="C7" s="22"/>
    </row>
    <row r="9" spans="1:18" ht="12.95" customHeight="1" x14ac:dyDescent="0.2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5" customHeight="1" x14ac:dyDescent="0.2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">
      <c r="A11" s="5">
        <v>43466</v>
      </c>
      <c r="B11" s="11">
        <v>30399</v>
      </c>
      <c r="C11" s="11">
        <v>245</v>
      </c>
      <c r="D11" s="11">
        <v>30644</v>
      </c>
      <c r="F11" s="5">
        <v>44197</v>
      </c>
      <c r="G11" s="11">
        <v>4946</v>
      </c>
      <c r="H11" s="11">
        <v>20</v>
      </c>
      <c r="I11" s="11">
        <v>4966</v>
      </c>
      <c r="K11" s="5">
        <v>43469</v>
      </c>
      <c r="L11" s="5">
        <v>44197</v>
      </c>
      <c r="M11" s="11">
        <v>-42428</v>
      </c>
      <c r="N11" s="11">
        <v>-1777</v>
      </c>
      <c r="O11" s="11">
        <v>-44205</v>
      </c>
      <c r="P11" s="8">
        <v>-0.89559674082830243</v>
      </c>
      <c r="Q11" s="8">
        <v>-0.98887033945464664</v>
      </c>
      <c r="R11" s="12">
        <v>-0.89900551137865814</v>
      </c>
    </row>
    <row r="12" spans="1:18" x14ac:dyDescent="0.2">
      <c r="A12" s="5">
        <v>43467</v>
      </c>
      <c r="B12" s="11">
        <v>45955</v>
      </c>
      <c r="C12" s="11">
        <v>1225</v>
      </c>
      <c r="D12" s="11">
        <v>47180</v>
      </c>
      <c r="F12" s="5">
        <v>44198</v>
      </c>
      <c r="G12" s="11">
        <v>10656</v>
      </c>
      <c r="H12" s="11">
        <v>179</v>
      </c>
      <c r="I12" s="11">
        <v>10835</v>
      </c>
      <c r="K12" s="5">
        <v>43470</v>
      </c>
      <c r="L12" s="5">
        <v>44198</v>
      </c>
      <c r="M12" s="11">
        <v>-37604</v>
      </c>
      <c r="N12" s="11">
        <v>-802</v>
      </c>
      <c r="O12" s="11">
        <v>-38406</v>
      </c>
      <c r="P12" s="8">
        <v>-0.77919602154993783</v>
      </c>
      <c r="Q12" s="8">
        <v>-0.817533129459735</v>
      </c>
      <c r="R12" s="12">
        <v>-0.77995978960622248</v>
      </c>
    </row>
    <row r="13" spans="1:18" x14ac:dyDescent="0.2">
      <c r="A13" s="5">
        <v>43468</v>
      </c>
      <c r="B13" s="11">
        <v>44618</v>
      </c>
      <c r="C13" s="11">
        <v>1662</v>
      </c>
      <c r="D13" s="11">
        <v>46280</v>
      </c>
      <c r="F13" s="5">
        <v>44199</v>
      </c>
      <c r="G13" s="11">
        <v>9226</v>
      </c>
      <c r="H13" s="11">
        <v>44</v>
      </c>
      <c r="I13" s="11">
        <v>9270</v>
      </c>
      <c r="K13" s="5">
        <v>43471</v>
      </c>
      <c r="L13" s="5">
        <v>44199</v>
      </c>
      <c r="M13" s="11">
        <v>-31465</v>
      </c>
      <c r="N13" s="11">
        <v>-192</v>
      </c>
      <c r="O13" s="11">
        <v>-31657</v>
      </c>
      <c r="P13" s="8">
        <v>-0.77326681575778422</v>
      </c>
      <c r="Q13" s="8">
        <v>-0.81355932203389836</v>
      </c>
      <c r="R13" s="12">
        <v>-0.77349915703569772</v>
      </c>
    </row>
    <row r="14" spans="1:18" x14ac:dyDescent="0.2">
      <c r="A14" s="5">
        <v>43469</v>
      </c>
      <c r="B14" s="11">
        <v>47374</v>
      </c>
      <c r="C14" s="11">
        <v>1797</v>
      </c>
      <c r="D14" s="11">
        <v>49171</v>
      </c>
      <c r="F14" s="5">
        <v>44200</v>
      </c>
      <c r="G14" s="11">
        <v>21129</v>
      </c>
      <c r="H14" s="11">
        <v>1387</v>
      </c>
      <c r="I14" s="11">
        <v>22516</v>
      </c>
      <c r="K14" s="5">
        <v>43472</v>
      </c>
      <c r="L14" s="5">
        <v>44200</v>
      </c>
      <c r="M14" s="11">
        <v>-22449</v>
      </c>
      <c r="N14" s="11">
        <v>-1108</v>
      </c>
      <c r="O14" s="11">
        <v>-23557</v>
      </c>
      <c r="P14" s="8">
        <v>-0.51514525678094447</v>
      </c>
      <c r="Q14" s="8">
        <v>-0.44408817635270537</v>
      </c>
      <c r="R14" s="12">
        <v>-0.51129728908471339</v>
      </c>
    </row>
    <row r="15" spans="1:18" x14ac:dyDescent="0.2">
      <c r="A15" s="5">
        <v>43470</v>
      </c>
      <c r="B15" s="11">
        <v>48260</v>
      </c>
      <c r="C15" s="11">
        <v>981</v>
      </c>
      <c r="D15" s="11">
        <v>49241</v>
      </c>
      <c r="F15" s="5">
        <v>44201</v>
      </c>
      <c r="G15" s="11">
        <v>19589</v>
      </c>
      <c r="H15" s="11">
        <v>1867</v>
      </c>
      <c r="I15" s="11">
        <v>21456</v>
      </c>
      <c r="K15" s="5">
        <v>43473</v>
      </c>
      <c r="L15" s="5">
        <v>44201</v>
      </c>
      <c r="M15" s="11">
        <v>-23585</v>
      </c>
      <c r="N15" s="11">
        <v>-1270</v>
      </c>
      <c r="O15" s="11">
        <v>-24855</v>
      </c>
      <c r="P15" s="8">
        <v>-0.54627785241117333</v>
      </c>
      <c r="Q15" s="8">
        <v>-0.40484539368823713</v>
      </c>
      <c r="R15" s="12">
        <v>-0.53669754485975252</v>
      </c>
    </row>
    <row r="16" spans="1:18" x14ac:dyDescent="0.2">
      <c r="A16" s="5">
        <v>43471</v>
      </c>
      <c r="B16" s="11">
        <v>40691</v>
      </c>
      <c r="C16" s="11">
        <v>236</v>
      </c>
      <c r="D16" s="11">
        <v>40927</v>
      </c>
      <c r="F16" s="5">
        <v>44202</v>
      </c>
      <c r="G16" s="11">
        <v>7479</v>
      </c>
      <c r="H16" s="11">
        <v>150</v>
      </c>
      <c r="I16" s="11">
        <v>7629</v>
      </c>
      <c r="K16" s="5">
        <v>43474</v>
      </c>
      <c r="L16" s="5">
        <v>44202</v>
      </c>
      <c r="M16" s="11">
        <v>-36446</v>
      </c>
      <c r="N16" s="11">
        <v>-2921</v>
      </c>
      <c r="O16" s="11">
        <v>-39367</v>
      </c>
      <c r="P16" s="8">
        <v>-0.82973249857712006</v>
      </c>
      <c r="Q16" s="8">
        <v>-0.95115597525236084</v>
      </c>
      <c r="R16" s="12">
        <v>-0.83766703549238231</v>
      </c>
    </row>
    <row r="17" spans="1:18" x14ac:dyDescent="0.2">
      <c r="A17" s="5">
        <v>43472</v>
      </c>
      <c r="B17" s="11">
        <v>43578</v>
      </c>
      <c r="C17" s="11">
        <v>2495</v>
      </c>
      <c r="D17" s="11">
        <v>46073</v>
      </c>
      <c r="F17" s="5">
        <v>44203</v>
      </c>
      <c r="G17" s="11">
        <v>27035</v>
      </c>
      <c r="H17" s="11">
        <v>2231</v>
      </c>
      <c r="I17" s="11">
        <v>29266</v>
      </c>
      <c r="K17" s="5">
        <v>43475</v>
      </c>
      <c r="L17" s="5">
        <v>44203</v>
      </c>
      <c r="M17" s="11">
        <v>-18191</v>
      </c>
      <c r="N17" s="11">
        <v>-816</v>
      </c>
      <c r="O17" s="11">
        <v>-19007</v>
      </c>
      <c r="P17" s="8">
        <v>-0.4022243842037766</v>
      </c>
      <c r="Q17" s="8">
        <v>-0.26780439776829668</v>
      </c>
      <c r="R17" s="12">
        <v>-0.39373977171503738</v>
      </c>
    </row>
    <row r="18" spans="1:18" x14ac:dyDescent="0.2">
      <c r="A18" s="5">
        <v>43473</v>
      </c>
      <c r="B18" s="11">
        <v>43174</v>
      </c>
      <c r="C18" s="11">
        <v>3137</v>
      </c>
      <c r="D18" s="11">
        <v>46311</v>
      </c>
      <c r="F18" s="5">
        <v>44204</v>
      </c>
      <c r="G18" s="11">
        <v>27853</v>
      </c>
      <c r="H18" s="11">
        <v>2280</v>
      </c>
      <c r="I18" s="11">
        <v>30133</v>
      </c>
      <c r="K18" s="5">
        <v>43476</v>
      </c>
      <c r="L18" s="5">
        <v>44204</v>
      </c>
      <c r="M18" s="11">
        <v>-19779</v>
      </c>
      <c r="N18" s="11">
        <v>-491</v>
      </c>
      <c r="O18" s="11">
        <v>-20270</v>
      </c>
      <c r="P18" s="8">
        <v>-0.41524605307356399</v>
      </c>
      <c r="Q18" s="8">
        <v>-0.17719234933237094</v>
      </c>
      <c r="R18" s="12">
        <v>-0.40215860167053552</v>
      </c>
    </row>
    <row r="19" spans="1:18" x14ac:dyDescent="0.2">
      <c r="A19" s="5">
        <v>43474</v>
      </c>
      <c r="B19" s="11">
        <v>43925</v>
      </c>
      <c r="C19" s="11">
        <v>3071</v>
      </c>
      <c r="D19" s="11">
        <v>46996</v>
      </c>
      <c r="F19" s="5">
        <v>44205</v>
      </c>
      <c r="G19" s="11">
        <v>14721</v>
      </c>
      <c r="H19" s="11">
        <v>1041</v>
      </c>
      <c r="I19" s="11">
        <v>15762</v>
      </c>
      <c r="K19" s="5">
        <v>43477</v>
      </c>
      <c r="L19" s="5">
        <v>44205</v>
      </c>
      <c r="M19" s="11">
        <v>-25045</v>
      </c>
      <c r="N19" s="11">
        <v>-286</v>
      </c>
      <c r="O19" s="11">
        <v>-25331</v>
      </c>
      <c r="P19" s="8">
        <v>-0.62980938490167482</v>
      </c>
      <c r="Q19" s="8">
        <v>-0.21552373775433309</v>
      </c>
      <c r="R19" s="12">
        <v>-0.61643102231523617</v>
      </c>
    </row>
    <row r="20" spans="1:18" x14ac:dyDescent="0.2">
      <c r="A20" s="5">
        <v>43475</v>
      </c>
      <c r="B20" s="11">
        <v>45226</v>
      </c>
      <c r="C20" s="11">
        <v>3047</v>
      </c>
      <c r="D20" s="11">
        <v>48273</v>
      </c>
      <c r="F20" s="5">
        <v>44206</v>
      </c>
      <c r="G20" s="11">
        <v>10791</v>
      </c>
      <c r="H20" s="11">
        <v>39</v>
      </c>
      <c r="I20" s="11">
        <v>10830</v>
      </c>
      <c r="K20" s="5">
        <v>43478</v>
      </c>
      <c r="L20" s="5">
        <v>44206</v>
      </c>
      <c r="M20" s="11">
        <v>-24418</v>
      </c>
      <c r="N20" s="11">
        <v>-117</v>
      </c>
      <c r="O20" s="11">
        <v>-24535</v>
      </c>
      <c r="P20" s="8">
        <v>-0.69351586242153995</v>
      </c>
      <c r="Q20" s="8">
        <v>-0.75</v>
      </c>
      <c r="R20" s="12">
        <v>-0.6937650219143221</v>
      </c>
    </row>
    <row r="21" spans="1:18" x14ac:dyDescent="0.2">
      <c r="A21" s="5">
        <v>43476</v>
      </c>
      <c r="B21" s="11">
        <v>47632</v>
      </c>
      <c r="C21" s="11">
        <v>2771</v>
      </c>
      <c r="D21" s="11">
        <v>50403</v>
      </c>
      <c r="F21" s="5">
        <v>44207</v>
      </c>
      <c r="G21" s="11">
        <v>29684</v>
      </c>
      <c r="H21" s="11">
        <v>2584</v>
      </c>
      <c r="I21" s="11">
        <v>32268</v>
      </c>
      <c r="K21" s="5">
        <v>43479</v>
      </c>
      <c r="L21" s="5">
        <v>44207</v>
      </c>
      <c r="M21" s="11">
        <v>-14483</v>
      </c>
      <c r="N21" s="11">
        <v>-314</v>
      </c>
      <c r="O21" s="11">
        <v>-14797</v>
      </c>
      <c r="P21" s="8">
        <v>-0.32791450630561281</v>
      </c>
      <c r="Q21" s="8">
        <v>-0.10835058661145613</v>
      </c>
      <c r="R21" s="12">
        <v>-0.3143949856581324</v>
      </c>
    </row>
    <row r="22" spans="1:18" x14ac:dyDescent="0.2">
      <c r="A22" s="5">
        <v>43477</v>
      </c>
      <c r="B22" s="11">
        <v>39766</v>
      </c>
      <c r="C22" s="11">
        <v>1327</v>
      </c>
      <c r="D22" s="11">
        <v>41093</v>
      </c>
      <c r="F22" s="5">
        <v>44208</v>
      </c>
      <c r="G22" s="11">
        <v>29339</v>
      </c>
      <c r="H22" s="11">
        <v>3142</v>
      </c>
      <c r="I22" s="11">
        <v>32481</v>
      </c>
      <c r="K22" s="5">
        <v>43480</v>
      </c>
      <c r="L22" s="5">
        <v>44208</v>
      </c>
      <c r="M22" s="11">
        <v>-14508</v>
      </c>
      <c r="N22" s="11">
        <v>-462</v>
      </c>
      <c r="O22" s="11">
        <v>-14970</v>
      </c>
      <c r="P22" s="8">
        <v>-0.33087782516477748</v>
      </c>
      <c r="Q22" s="8">
        <v>-0.12819089900110991</v>
      </c>
      <c r="R22" s="12">
        <v>-0.31548334070936335</v>
      </c>
    </row>
    <row r="23" spans="1:18" x14ac:dyDescent="0.2">
      <c r="A23" s="5">
        <v>43478</v>
      </c>
      <c r="B23" s="11">
        <v>35209</v>
      </c>
      <c r="C23" s="11">
        <v>156</v>
      </c>
      <c r="D23" s="11">
        <v>35365</v>
      </c>
      <c r="F23" s="5">
        <v>44209</v>
      </c>
      <c r="G23" s="11">
        <v>29693</v>
      </c>
      <c r="H23" s="11">
        <v>3299</v>
      </c>
      <c r="I23" s="11">
        <v>32992</v>
      </c>
      <c r="K23" s="5">
        <v>43481</v>
      </c>
      <c r="L23" s="5">
        <v>44209</v>
      </c>
      <c r="M23" s="11">
        <v>-14985</v>
      </c>
      <c r="N23" s="11">
        <v>-295</v>
      </c>
      <c r="O23" s="11">
        <v>-15280</v>
      </c>
      <c r="P23" s="8">
        <v>-0.33539997314114334</v>
      </c>
      <c r="Q23" s="8">
        <v>-8.2081246521981122E-2</v>
      </c>
      <c r="R23" s="12">
        <v>-0.31653960888299637</v>
      </c>
    </row>
    <row r="24" spans="1:18" x14ac:dyDescent="0.2">
      <c r="A24" s="5">
        <v>43479</v>
      </c>
      <c r="B24" s="11">
        <v>44167</v>
      </c>
      <c r="C24" s="11">
        <v>2898</v>
      </c>
      <c r="D24" s="11">
        <v>47065</v>
      </c>
      <c r="F24" s="5">
        <v>44210</v>
      </c>
      <c r="G24" s="11">
        <v>30380</v>
      </c>
      <c r="H24" s="11">
        <v>2648</v>
      </c>
      <c r="I24" s="11">
        <v>33028</v>
      </c>
      <c r="K24" s="5">
        <v>43482</v>
      </c>
      <c r="L24" s="5">
        <v>44210</v>
      </c>
      <c r="M24" s="11">
        <v>-14759</v>
      </c>
      <c r="N24" s="11">
        <v>-778</v>
      </c>
      <c r="O24" s="11">
        <v>-15537</v>
      </c>
      <c r="P24" s="8">
        <v>-0.32696781054077406</v>
      </c>
      <c r="Q24" s="8">
        <v>-0.22708698190309395</v>
      </c>
      <c r="R24" s="12">
        <v>-0.31992175434984038</v>
      </c>
    </row>
    <row r="25" spans="1:18" x14ac:dyDescent="0.2">
      <c r="A25" s="5">
        <v>43480</v>
      </c>
      <c r="B25" s="11">
        <v>43847</v>
      </c>
      <c r="C25" s="11">
        <v>3604</v>
      </c>
      <c r="D25" s="11">
        <v>47451</v>
      </c>
      <c r="F25" s="5">
        <v>44211</v>
      </c>
      <c r="G25" s="11">
        <v>31673</v>
      </c>
      <c r="H25" s="11">
        <v>2674</v>
      </c>
      <c r="I25" s="11">
        <v>34347</v>
      </c>
      <c r="K25" s="5">
        <v>43483</v>
      </c>
      <c r="L25" s="5">
        <v>44211</v>
      </c>
      <c r="M25" s="11">
        <v>-17126</v>
      </c>
      <c r="N25" s="11">
        <v>-431</v>
      </c>
      <c r="O25" s="11">
        <v>-17557</v>
      </c>
      <c r="P25" s="8">
        <v>-0.35094981454537999</v>
      </c>
      <c r="Q25" s="8">
        <v>-0.1388083735909823</v>
      </c>
      <c r="R25" s="12">
        <v>-0.33825909371146734</v>
      </c>
    </row>
    <row r="26" spans="1:18" x14ac:dyDescent="0.2">
      <c r="A26" s="5">
        <v>43481</v>
      </c>
      <c r="B26" s="11">
        <v>44678</v>
      </c>
      <c r="C26" s="11">
        <v>3594</v>
      </c>
      <c r="D26" s="11">
        <v>48272</v>
      </c>
      <c r="F26" s="5">
        <v>44212</v>
      </c>
      <c r="G26" s="11">
        <v>14831</v>
      </c>
      <c r="H26" s="11">
        <v>1175</v>
      </c>
      <c r="I26" s="11">
        <v>16006</v>
      </c>
      <c r="K26" s="5">
        <v>43484</v>
      </c>
      <c r="L26" s="5">
        <v>44212</v>
      </c>
      <c r="M26" s="11">
        <v>-23020</v>
      </c>
      <c r="N26" s="11">
        <v>-183</v>
      </c>
      <c r="O26" s="11">
        <v>-23203</v>
      </c>
      <c r="P26" s="8">
        <v>-0.60817415656125329</v>
      </c>
      <c r="Q26" s="8">
        <v>-0.13475699558173782</v>
      </c>
      <c r="R26" s="12">
        <v>-0.59177739804636698</v>
      </c>
    </row>
    <row r="27" spans="1:18" x14ac:dyDescent="0.2">
      <c r="A27" s="5">
        <v>43482</v>
      </c>
      <c r="B27" s="11">
        <v>45139</v>
      </c>
      <c r="C27" s="11">
        <v>3426</v>
      </c>
      <c r="D27" s="11">
        <v>48565</v>
      </c>
      <c r="F27" s="5">
        <v>44213</v>
      </c>
      <c r="G27" s="11">
        <v>8706</v>
      </c>
      <c r="H27" s="11">
        <v>41</v>
      </c>
      <c r="I27" s="11">
        <v>8747</v>
      </c>
      <c r="K27" s="5">
        <v>43485</v>
      </c>
      <c r="L27" s="5">
        <v>44213</v>
      </c>
      <c r="M27" s="11">
        <v>-26188</v>
      </c>
      <c r="N27" s="11">
        <v>-148</v>
      </c>
      <c r="O27" s="11">
        <v>-26336</v>
      </c>
      <c r="P27" s="8">
        <v>-0.75050151888576833</v>
      </c>
      <c r="Q27" s="8">
        <v>-0.78306878306878303</v>
      </c>
      <c r="R27" s="12">
        <v>-0.75067696605193401</v>
      </c>
    </row>
    <row r="28" spans="1:18" x14ac:dyDescent="0.2">
      <c r="A28" s="5">
        <v>43483</v>
      </c>
      <c r="B28" s="11">
        <v>48799</v>
      </c>
      <c r="C28" s="11">
        <v>3105</v>
      </c>
      <c r="D28" s="11">
        <v>51904</v>
      </c>
      <c r="F28" s="5">
        <v>44214</v>
      </c>
      <c r="G28" s="11">
        <v>27110</v>
      </c>
      <c r="H28" s="11">
        <v>2853</v>
      </c>
      <c r="I28" s="11">
        <v>29963</v>
      </c>
      <c r="K28" s="5">
        <v>43486</v>
      </c>
      <c r="L28" s="5">
        <v>44214</v>
      </c>
      <c r="M28" s="11">
        <v>-17179</v>
      </c>
      <c r="N28" s="11">
        <v>-301</v>
      </c>
      <c r="O28" s="11">
        <v>-17480</v>
      </c>
      <c r="P28" s="8">
        <v>-0.38788412472623002</v>
      </c>
      <c r="Q28" s="8">
        <v>-9.5434369055168E-2</v>
      </c>
      <c r="R28" s="12">
        <v>-0.36844213055666797</v>
      </c>
    </row>
    <row r="29" spans="1:18" x14ac:dyDescent="0.2">
      <c r="A29" s="5">
        <v>43484</v>
      </c>
      <c r="B29" s="11">
        <v>37851</v>
      </c>
      <c r="C29" s="11">
        <v>1358</v>
      </c>
      <c r="D29" s="11">
        <v>39209</v>
      </c>
      <c r="F29" s="5">
        <v>44215</v>
      </c>
      <c r="G29" s="11">
        <v>27265</v>
      </c>
      <c r="H29" s="11">
        <v>3432</v>
      </c>
      <c r="I29" s="11">
        <v>30697</v>
      </c>
      <c r="K29" s="5">
        <v>43487</v>
      </c>
      <c r="L29" s="5">
        <v>44215</v>
      </c>
      <c r="M29" s="11">
        <v>-16733</v>
      </c>
      <c r="N29" s="11">
        <v>-245</v>
      </c>
      <c r="O29" s="11">
        <v>-16978</v>
      </c>
      <c r="P29" s="8">
        <v>-0.38031274148824945</v>
      </c>
      <c r="Q29" s="8">
        <v>-6.6630405221648092E-2</v>
      </c>
      <c r="R29" s="12">
        <v>-0.35611955951756691</v>
      </c>
    </row>
    <row r="30" spans="1:18" x14ac:dyDescent="0.2">
      <c r="A30" s="5">
        <v>43485</v>
      </c>
      <c r="B30" s="11">
        <v>34894</v>
      </c>
      <c r="C30" s="11">
        <v>189</v>
      </c>
      <c r="D30" s="11">
        <v>35083</v>
      </c>
      <c r="F30" s="5">
        <v>44216</v>
      </c>
      <c r="G30" s="11">
        <v>27401</v>
      </c>
      <c r="H30" s="11">
        <v>3274</v>
      </c>
      <c r="I30" s="11">
        <v>30675</v>
      </c>
      <c r="K30" s="5">
        <v>43488</v>
      </c>
      <c r="L30" s="5">
        <v>44216</v>
      </c>
      <c r="M30" s="11">
        <v>-17655</v>
      </c>
      <c r="N30" s="11">
        <v>-444</v>
      </c>
      <c r="O30" s="11">
        <v>-18099</v>
      </c>
      <c r="P30" s="8">
        <v>-0.391845703125</v>
      </c>
      <c r="Q30" s="8">
        <v>-0.11941904249596558</v>
      </c>
      <c r="R30" s="12">
        <v>-0.37107885348751379</v>
      </c>
    </row>
    <row r="31" spans="1:18" x14ac:dyDescent="0.2">
      <c r="A31" s="5">
        <v>43486</v>
      </c>
      <c r="B31" s="11">
        <v>44289</v>
      </c>
      <c r="C31" s="11">
        <v>3154</v>
      </c>
      <c r="D31" s="11">
        <v>47443</v>
      </c>
      <c r="F31" s="5">
        <v>44217</v>
      </c>
      <c r="G31" s="11">
        <v>27611</v>
      </c>
      <c r="H31" s="11">
        <v>3209</v>
      </c>
      <c r="I31" s="11">
        <v>30820</v>
      </c>
      <c r="K31" s="5">
        <v>43489</v>
      </c>
      <c r="L31" s="5">
        <v>44217</v>
      </c>
      <c r="M31" s="11">
        <v>-18060</v>
      </c>
      <c r="N31" s="11">
        <v>-282</v>
      </c>
      <c r="O31" s="11">
        <v>-18342</v>
      </c>
      <c r="P31" s="8">
        <v>-0.3954369293424711</v>
      </c>
      <c r="Q31" s="8">
        <v>-8.0779146376396493E-2</v>
      </c>
      <c r="R31" s="12">
        <v>-0.37309303933932714</v>
      </c>
    </row>
    <row r="32" spans="1:18" x14ac:dyDescent="0.2">
      <c r="A32" s="5">
        <v>43487</v>
      </c>
      <c r="B32" s="11">
        <v>43998</v>
      </c>
      <c r="C32" s="11">
        <v>3677</v>
      </c>
      <c r="D32" s="11">
        <v>47675</v>
      </c>
      <c r="F32" s="5">
        <v>44218</v>
      </c>
      <c r="G32" s="11">
        <v>28376</v>
      </c>
      <c r="H32" s="11">
        <v>2741</v>
      </c>
      <c r="I32" s="11">
        <v>31117</v>
      </c>
      <c r="K32" s="5">
        <v>43490</v>
      </c>
      <c r="L32" s="5">
        <v>44218</v>
      </c>
      <c r="M32" s="11">
        <v>-21949</v>
      </c>
      <c r="N32" s="11">
        <v>-339</v>
      </c>
      <c r="O32" s="11">
        <v>-22288</v>
      </c>
      <c r="P32" s="8">
        <v>-0.43614505712866369</v>
      </c>
      <c r="Q32" s="8">
        <v>-0.11006493506493509</v>
      </c>
      <c r="R32" s="12">
        <v>-0.4173392004493961</v>
      </c>
    </row>
    <row r="33" spans="1:18" x14ac:dyDescent="0.2">
      <c r="A33" s="5">
        <v>43488</v>
      </c>
      <c r="B33" s="11">
        <v>45056</v>
      </c>
      <c r="C33" s="11">
        <v>3718</v>
      </c>
      <c r="D33" s="11">
        <v>48774</v>
      </c>
      <c r="F33" s="5">
        <v>44219</v>
      </c>
      <c r="G33" s="11">
        <v>12151</v>
      </c>
      <c r="H33" s="11">
        <v>1142</v>
      </c>
      <c r="I33" s="11">
        <v>13293</v>
      </c>
      <c r="K33" s="5">
        <v>43491</v>
      </c>
      <c r="L33" s="5">
        <v>44219</v>
      </c>
      <c r="M33" s="11">
        <v>-27916</v>
      </c>
      <c r="N33" s="11">
        <v>-262</v>
      </c>
      <c r="O33" s="11">
        <v>-28178</v>
      </c>
      <c r="P33" s="8">
        <v>-0.69673297227144526</v>
      </c>
      <c r="Q33" s="8">
        <v>-0.18660968660968658</v>
      </c>
      <c r="R33" s="12">
        <v>-0.67946275710737625</v>
      </c>
    </row>
    <row r="34" spans="1:18" x14ac:dyDescent="0.2">
      <c r="A34" s="5">
        <v>43489</v>
      </c>
      <c r="B34" s="11">
        <v>45671</v>
      </c>
      <c r="C34" s="11">
        <v>3491</v>
      </c>
      <c r="D34" s="11">
        <v>49162</v>
      </c>
      <c r="F34" s="5">
        <v>44220</v>
      </c>
      <c r="G34" s="11">
        <v>9466</v>
      </c>
      <c r="H34" s="11">
        <v>60</v>
      </c>
      <c r="I34" s="11">
        <v>9526</v>
      </c>
      <c r="K34" s="5">
        <v>43492</v>
      </c>
      <c r="L34" s="5">
        <v>44220</v>
      </c>
      <c r="M34" s="11">
        <v>-23518</v>
      </c>
      <c r="N34" s="11">
        <v>-164</v>
      </c>
      <c r="O34" s="11">
        <v>-23682</v>
      </c>
      <c r="P34" s="8">
        <v>-0.7130123696337618</v>
      </c>
      <c r="Q34" s="8">
        <v>-0.73214285714285721</v>
      </c>
      <c r="R34" s="12">
        <v>-0.71314141170802214</v>
      </c>
    </row>
    <row r="35" spans="1:18" x14ac:dyDescent="0.2">
      <c r="A35" s="5">
        <v>43490</v>
      </c>
      <c r="B35" s="11">
        <v>50325</v>
      </c>
      <c r="C35" s="11">
        <v>3080</v>
      </c>
      <c r="D35" s="11">
        <v>53405</v>
      </c>
      <c r="F35" s="5">
        <v>44221</v>
      </c>
      <c r="G35" s="11">
        <v>28209</v>
      </c>
      <c r="H35" s="11">
        <v>2862</v>
      </c>
      <c r="I35" s="11">
        <v>31071</v>
      </c>
      <c r="K35" s="5">
        <v>43493</v>
      </c>
      <c r="L35" s="5">
        <v>44221</v>
      </c>
      <c r="M35" s="11">
        <f>G35-B38</f>
        <v>-16184</v>
      </c>
      <c r="N35" s="11">
        <f t="shared" ref="N35:O41" si="0">H35-C38</f>
        <v>-291</v>
      </c>
      <c r="O35" s="11">
        <f t="shared" si="0"/>
        <v>-16475</v>
      </c>
      <c r="P35" s="8">
        <f>G35/B38-1</f>
        <v>-0.36456198049241995</v>
      </c>
      <c r="Q35" s="8">
        <f t="shared" ref="Q35:R41" si="1">H35/C38-1</f>
        <v>-9.2293054234062755E-2</v>
      </c>
      <c r="R35" s="12">
        <f t="shared" si="1"/>
        <v>-0.34650654103394607</v>
      </c>
    </row>
    <row r="36" spans="1:18" x14ac:dyDescent="0.2">
      <c r="A36" s="5">
        <v>43491</v>
      </c>
      <c r="B36" s="11">
        <v>40067</v>
      </c>
      <c r="C36" s="11">
        <v>1404</v>
      </c>
      <c r="D36" s="11">
        <v>41471</v>
      </c>
      <c r="F36" s="5">
        <v>44222</v>
      </c>
      <c r="G36" s="11">
        <v>28527</v>
      </c>
      <c r="H36" s="11">
        <v>3318</v>
      </c>
      <c r="I36" s="11">
        <v>31845</v>
      </c>
      <c r="K36" s="5">
        <v>43494</v>
      </c>
      <c r="L36" s="5">
        <v>44222</v>
      </c>
      <c r="M36" s="11">
        <f t="shared" ref="M36:M41" si="2">G36-B39</f>
        <v>-16577</v>
      </c>
      <c r="N36" s="11">
        <f t="shared" si="0"/>
        <v>-236</v>
      </c>
      <c r="O36" s="11">
        <f t="shared" si="0"/>
        <v>-16813</v>
      </c>
      <c r="P36" s="8">
        <f t="shared" ref="P36:P41" si="3">G36/B39-1</f>
        <v>-0.36752837885775103</v>
      </c>
      <c r="Q36" s="8">
        <f t="shared" si="1"/>
        <v>-6.6404051772650519E-2</v>
      </c>
      <c r="R36" s="12">
        <f t="shared" si="1"/>
        <v>-0.34553413621603846</v>
      </c>
    </row>
    <row r="37" spans="1:18" x14ac:dyDescent="0.2">
      <c r="A37" s="5">
        <v>43492</v>
      </c>
      <c r="B37" s="11">
        <v>32984</v>
      </c>
      <c r="C37" s="11">
        <v>224</v>
      </c>
      <c r="D37" s="11">
        <v>33208</v>
      </c>
      <c r="F37" s="5">
        <v>44223</v>
      </c>
      <c r="G37" s="11">
        <v>28817</v>
      </c>
      <c r="H37" s="11">
        <v>2857</v>
      </c>
      <c r="I37" s="11">
        <v>31674</v>
      </c>
      <c r="K37" s="5">
        <v>43495</v>
      </c>
      <c r="L37" s="5">
        <v>44223</v>
      </c>
      <c r="M37" s="11">
        <f t="shared" si="2"/>
        <v>-14950</v>
      </c>
      <c r="N37" s="11">
        <f t="shared" si="0"/>
        <v>-874</v>
      </c>
      <c r="O37" s="11">
        <f t="shared" si="0"/>
        <v>-15824</v>
      </c>
      <c r="P37" s="8">
        <f t="shared" si="3"/>
        <v>-0.34158155688075487</v>
      </c>
      <c r="Q37" s="8">
        <f t="shared" si="1"/>
        <v>-0.2342535513267221</v>
      </c>
      <c r="R37" s="12">
        <f t="shared" si="1"/>
        <v>-0.33315086951029516</v>
      </c>
    </row>
    <row r="38" spans="1:18" x14ac:dyDescent="0.2">
      <c r="A38" s="5">
        <v>43493</v>
      </c>
      <c r="B38" s="11">
        <v>44393</v>
      </c>
      <c r="C38" s="11">
        <v>3153</v>
      </c>
      <c r="D38" s="11">
        <v>47546</v>
      </c>
      <c r="F38" s="5">
        <v>44224</v>
      </c>
      <c r="G38" s="11">
        <v>29483</v>
      </c>
      <c r="H38" s="11">
        <v>2615</v>
      </c>
      <c r="I38" s="11">
        <v>32098</v>
      </c>
      <c r="K38" s="5">
        <v>43496</v>
      </c>
      <c r="L38" s="5">
        <v>44224</v>
      </c>
      <c r="M38" s="11">
        <f t="shared" si="2"/>
        <v>-16886</v>
      </c>
      <c r="N38" s="11">
        <f t="shared" si="0"/>
        <v>-978</v>
      </c>
      <c r="O38" s="11">
        <f t="shared" si="0"/>
        <v>-17864</v>
      </c>
      <c r="P38" s="8">
        <f t="shared" si="3"/>
        <v>-0.36416571416247923</v>
      </c>
      <c r="Q38" s="8">
        <f t="shared" si="1"/>
        <v>-0.27219593654327856</v>
      </c>
      <c r="R38" s="12">
        <f t="shared" si="1"/>
        <v>-0.35755173932188467</v>
      </c>
    </row>
    <row r="39" spans="1:18" x14ac:dyDescent="0.2">
      <c r="A39" s="5">
        <v>43494</v>
      </c>
      <c r="B39" s="11">
        <v>45104</v>
      </c>
      <c r="C39" s="11">
        <v>3554</v>
      </c>
      <c r="D39" s="11">
        <v>48658</v>
      </c>
      <c r="F39" s="5">
        <v>44225</v>
      </c>
      <c r="G39" s="11">
        <v>33339</v>
      </c>
      <c r="H39" s="11">
        <v>2873</v>
      </c>
      <c r="I39" s="11">
        <v>36212</v>
      </c>
      <c r="K39" s="5">
        <v>43497</v>
      </c>
      <c r="L39" s="5">
        <v>44225</v>
      </c>
      <c r="M39" s="11">
        <f t="shared" si="2"/>
        <v>-115</v>
      </c>
      <c r="N39" s="11">
        <f t="shared" si="0"/>
        <v>346</v>
      </c>
      <c r="O39" s="11">
        <f t="shared" si="0"/>
        <v>231</v>
      </c>
      <c r="P39" s="8">
        <f t="shared" si="3"/>
        <v>-3.4375560471094913E-3</v>
      </c>
      <c r="Q39" s="8">
        <f t="shared" si="1"/>
        <v>0.13692125049465775</v>
      </c>
      <c r="R39" s="12">
        <f t="shared" si="1"/>
        <v>6.4200550290431924E-3</v>
      </c>
    </row>
    <row r="40" spans="1:18" x14ac:dyDescent="0.2">
      <c r="A40" s="5">
        <v>43495</v>
      </c>
      <c r="B40" s="11">
        <v>43767</v>
      </c>
      <c r="C40" s="11">
        <v>3731</v>
      </c>
      <c r="D40" s="11">
        <v>47498</v>
      </c>
      <c r="F40" s="5">
        <v>44226</v>
      </c>
      <c r="G40" s="11">
        <v>14735</v>
      </c>
      <c r="H40" s="11">
        <v>867</v>
      </c>
      <c r="I40" s="11">
        <v>15602</v>
      </c>
      <c r="K40" s="5">
        <v>43498</v>
      </c>
      <c r="L40" s="5">
        <v>44226</v>
      </c>
      <c r="M40" s="11">
        <f t="shared" si="2"/>
        <v>-17711</v>
      </c>
      <c r="N40" s="11">
        <f t="shared" si="0"/>
        <v>-629</v>
      </c>
      <c r="O40" s="11">
        <f t="shared" si="0"/>
        <v>-18340</v>
      </c>
      <c r="P40" s="8">
        <f t="shared" si="3"/>
        <v>-0.54586081489243665</v>
      </c>
      <c r="Q40" s="8">
        <f t="shared" si="1"/>
        <v>-0.42045454545454541</v>
      </c>
      <c r="R40" s="12">
        <f t="shared" si="1"/>
        <v>-0.54033351010547404</v>
      </c>
    </row>
    <row r="41" spans="1:18" x14ac:dyDescent="0.2">
      <c r="A41" s="5">
        <v>43496</v>
      </c>
      <c r="B41" s="11">
        <v>46369</v>
      </c>
      <c r="C41" s="11">
        <v>3593</v>
      </c>
      <c r="D41" s="11">
        <v>49962</v>
      </c>
      <c r="F41" s="5">
        <v>44227</v>
      </c>
      <c r="G41" s="11">
        <v>10844</v>
      </c>
      <c r="H41" s="11">
        <v>45</v>
      </c>
      <c r="I41" s="11">
        <v>10889</v>
      </c>
      <c r="K41" s="5">
        <v>43499</v>
      </c>
      <c r="L41" s="5">
        <v>44227</v>
      </c>
      <c r="M41" s="11">
        <f t="shared" si="2"/>
        <v>-21459</v>
      </c>
      <c r="N41" s="11">
        <f t="shared" si="0"/>
        <v>-134</v>
      </c>
      <c r="O41" s="11">
        <f t="shared" si="0"/>
        <v>-21593</v>
      </c>
      <c r="P41" s="8">
        <f t="shared" si="3"/>
        <v>-0.66430362505030494</v>
      </c>
      <c r="Q41" s="8">
        <f t="shared" si="1"/>
        <v>-0.74860335195530725</v>
      </c>
      <c r="R41" s="12">
        <f t="shared" si="1"/>
        <v>-0.66476817929930421</v>
      </c>
    </row>
    <row r="42" spans="1:18" x14ac:dyDescent="0.2">
      <c r="A42" s="5">
        <v>43497</v>
      </c>
      <c r="B42" s="11">
        <v>33454</v>
      </c>
      <c r="C42" s="11">
        <v>2527</v>
      </c>
      <c r="D42" s="11">
        <v>35981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">
      <c r="A43" s="5">
        <v>43498</v>
      </c>
      <c r="B43" s="11">
        <v>32446</v>
      </c>
      <c r="C43" s="11">
        <v>1496</v>
      </c>
      <c r="D43" s="11">
        <v>33942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">
      <c r="A44" s="5">
        <v>43499</v>
      </c>
      <c r="B44" s="11">
        <v>32303</v>
      </c>
      <c r="C44" s="11">
        <v>179</v>
      </c>
      <c r="D44" s="11">
        <v>32482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">
      <c r="A45" s="5"/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3" t="s">
        <v>16</v>
      </c>
      <c r="B47" s="6"/>
      <c r="C47" s="6"/>
      <c r="D47" s="3"/>
      <c r="F47" s="23" t="s">
        <v>16</v>
      </c>
      <c r="G47" s="6"/>
      <c r="H47" s="6"/>
      <c r="I47" s="3"/>
      <c r="K47" s="23" t="s">
        <v>17</v>
      </c>
      <c r="L47" s="23"/>
      <c r="M47" s="6"/>
      <c r="N47" s="6"/>
      <c r="O47" s="3"/>
      <c r="P47" s="6"/>
      <c r="Q47" s="6"/>
      <c r="R47" s="3"/>
    </row>
    <row r="48" spans="1:18" ht="26.45" customHeight="1" x14ac:dyDescent="0.2">
      <c r="A48" s="24"/>
      <c r="B48" s="7" t="s">
        <v>38</v>
      </c>
      <c r="C48" s="4" t="s">
        <v>2</v>
      </c>
      <c r="D48" s="4" t="s">
        <v>0</v>
      </c>
      <c r="F48" s="24"/>
      <c r="G48" s="7" t="s">
        <v>38</v>
      </c>
      <c r="H48" s="4" t="s">
        <v>2</v>
      </c>
      <c r="I48" s="4" t="s">
        <v>0</v>
      </c>
      <c r="K48" s="24"/>
      <c r="L48" s="24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2">
      <c r="A49" s="5">
        <v>43466</v>
      </c>
      <c r="B49" s="11">
        <v>14195</v>
      </c>
      <c r="C49" s="11">
        <v>132</v>
      </c>
      <c r="D49" s="11">
        <v>14327</v>
      </c>
      <c r="F49" s="5">
        <v>44197</v>
      </c>
      <c r="G49" s="11">
        <v>2163</v>
      </c>
      <c r="H49" s="11">
        <v>12</v>
      </c>
      <c r="I49" s="11">
        <v>2175</v>
      </c>
      <c r="K49" s="5">
        <v>43469</v>
      </c>
      <c r="L49" s="5">
        <v>44197</v>
      </c>
      <c r="M49" s="11">
        <v>-19034</v>
      </c>
      <c r="N49" s="11">
        <v>-869</v>
      </c>
      <c r="O49" s="11">
        <v>-19903</v>
      </c>
      <c r="P49" s="8">
        <v>-0.89795725810256166</v>
      </c>
      <c r="Q49" s="8">
        <v>-0.98637911464245176</v>
      </c>
      <c r="R49" s="12">
        <v>-0.90148564181538182</v>
      </c>
    </row>
    <row r="50" spans="1:18" x14ac:dyDescent="0.2">
      <c r="A50" s="5">
        <v>43467</v>
      </c>
      <c r="B50" s="11">
        <v>20860</v>
      </c>
      <c r="C50" s="11">
        <v>475</v>
      </c>
      <c r="D50" s="11">
        <v>21335</v>
      </c>
      <c r="F50" s="5">
        <v>44198</v>
      </c>
      <c r="G50" s="11">
        <v>3794</v>
      </c>
      <c r="H50" s="11">
        <v>95</v>
      </c>
      <c r="I50" s="11">
        <v>3889</v>
      </c>
      <c r="K50" s="5">
        <v>43470</v>
      </c>
      <c r="L50" s="5">
        <v>44198</v>
      </c>
      <c r="M50" s="11">
        <v>-15787</v>
      </c>
      <c r="N50" s="11">
        <v>-387</v>
      </c>
      <c r="O50" s="11">
        <v>-16174</v>
      </c>
      <c r="P50" s="8">
        <v>-0.80624074357795816</v>
      </c>
      <c r="Q50" s="8">
        <v>-0.80290456431535273</v>
      </c>
      <c r="R50" s="12">
        <v>-0.80616059412849528</v>
      </c>
    </row>
    <row r="51" spans="1:18" x14ac:dyDescent="0.2">
      <c r="A51" s="5">
        <v>43468</v>
      </c>
      <c r="B51" s="11">
        <v>20475</v>
      </c>
      <c r="C51" s="11">
        <v>834</v>
      </c>
      <c r="D51" s="11">
        <v>21309</v>
      </c>
      <c r="F51" s="5">
        <v>44199</v>
      </c>
      <c r="G51" s="11">
        <v>3046</v>
      </c>
      <c r="H51" s="11">
        <v>16</v>
      </c>
      <c r="I51" s="11">
        <v>3062</v>
      </c>
      <c r="K51" s="5">
        <v>43471</v>
      </c>
      <c r="L51" s="5">
        <v>44199</v>
      </c>
      <c r="M51" s="11">
        <v>-13075</v>
      </c>
      <c r="N51" s="11">
        <v>-81</v>
      </c>
      <c r="O51" s="11">
        <v>-13156</v>
      </c>
      <c r="P51" s="8">
        <v>-0.81105390484461259</v>
      </c>
      <c r="Q51" s="8">
        <v>-0.83505154639175261</v>
      </c>
      <c r="R51" s="12">
        <v>-0.81119743494882224</v>
      </c>
    </row>
    <row r="52" spans="1:18" x14ac:dyDescent="0.2">
      <c r="A52" s="5">
        <v>43469</v>
      </c>
      <c r="B52" s="11">
        <v>21197</v>
      </c>
      <c r="C52" s="11">
        <v>881</v>
      </c>
      <c r="D52" s="11">
        <v>22078</v>
      </c>
      <c r="F52" s="5">
        <v>44200</v>
      </c>
      <c r="G52" s="11">
        <v>9741</v>
      </c>
      <c r="H52" s="11">
        <v>547</v>
      </c>
      <c r="I52" s="11">
        <v>10288</v>
      </c>
      <c r="K52" s="5">
        <v>43472</v>
      </c>
      <c r="L52" s="5">
        <v>44200</v>
      </c>
      <c r="M52" s="11">
        <v>-10757</v>
      </c>
      <c r="N52" s="11">
        <v>-614</v>
      </c>
      <c r="O52" s="11">
        <v>-11371</v>
      </c>
      <c r="P52" s="8">
        <v>-0.52478290564933161</v>
      </c>
      <c r="Q52" s="8">
        <v>-0.52885443583117997</v>
      </c>
      <c r="R52" s="12">
        <v>-0.52500115425458238</v>
      </c>
    </row>
    <row r="53" spans="1:18" x14ac:dyDescent="0.2">
      <c r="A53" s="5">
        <v>43470</v>
      </c>
      <c r="B53" s="11">
        <v>19581</v>
      </c>
      <c r="C53" s="11">
        <v>482</v>
      </c>
      <c r="D53" s="11">
        <v>20063</v>
      </c>
      <c r="F53" s="5">
        <v>44201</v>
      </c>
      <c r="G53" s="11">
        <v>9433</v>
      </c>
      <c r="H53" s="11">
        <v>859</v>
      </c>
      <c r="I53" s="11">
        <v>10292</v>
      </c>
      <c r="K53" s="5">
        <v>43473</v>
      </c>
      <c r="L53" s="5">
        <v>44201</v>
      </c>
      <c r="M53" s="11">
        <v>-11731</v>
      </c>
      <c r="N53" s="11">
        <v>-660</v>
      </c>
      <c r="O53" s="11">
        <v>-12391</v>
      </c>
      <c r="P53" s="8">
        <v>-0.55429030429030424</v>
      </c>
      <c r="Q53" s="8">
        <v>-0.43449637919684003</v>
      </c>
      <c r="R53" s="12">
        <v>-0.54626813031785915</v>
      </c>
    </row>
    <row r="54" spans="1:18" x14ac:dyDescent="0.2">
      <c r="A54" s="5">
        <v>43471</v>
      </c>
      <c r="B54" s="11">
        <v>16121</v>
      </c>
      <c r="C54" s="11">
        <v>97</v>
      </c>
      <c r="D54" s="11">
        <v>16218</v>
      </c>
      <c r="F54" s="5">
        <v>44202</v>
      </c>
      <c r="G54" s="11">
        <v>3474</v>
      </c>
      <c r="H54" s="11">
        <v>104</v>
      </c>
      <c r="I54" s="11">
        <v>3578</v>
      </c>
      <c r="K54" s="5">
        <v>43474</v>
      </c>
      <c r="L54" s="5">
        <v>44202</v>
      </c>
      <c r="M54" s="11">
        <v>-18307</v>
      </c>
      <c r="N54" s="11">
        <v>-1335</v>
      </c>
      <c r="O54" s="11">
        <v>-19642</v>
      </c>
      <c r="P54" s="8">
        <v>-0.84050319085441438</v>
      </c>
      <c r="Q54" s="8">
        <v>-0.92772758860319671</v>
      </c>
      <c r="R54" s="12">
        <v>-0.84590869939707147</v>
      </c>
    </row>
    <row r="55" spans="1:18" x14ac:dyDescent="0.2">
      <c r="A55" s="5">
        <v>43472</v>
      </c>
      <c r="B55" s="11">
        <v>20498</v>
      </c>
      <c r="C55" s="11">
        <v>1161</v>
      </c>
      <c r="D55" s="11">
        <v>21659</v>
      </c>
      <c r="F55" s="5">
        <v>44203</v>
      </c>
      <c r="G55" s="11">
        <v>13427</v>
      </c>
      <c r="H55" s="11">
        <v>1256</v>
      </c>
      <c r="I55" s="11">
        <v>14683</v>
      </c>
      <c r="K55" s="5">
        <v>43475</v>
      </c>
      <c r="L55" s="5">
        <v>44203</v>
      </c>
      <c r="M55" s="11">
        <v>-9292</v>
      </c>
      <c r="N55" s="11">
        <v>-325</v>
      </c>
      <c r="O55" s="11">
        <v>-9617</v>
      </c>
      <c r="P55" s="8">
        <v>-0.40899687486244996</v>
      </c>
      <c r="Q55" s="8">
        <v>-0.20556609740670462</v>
      </c>
      <c r="R55" s="12">
        <v>-0.39576131687242799</v>
      </c>
    </row>
    <row r="56" spans="1:18" x14ac:dyDescent="0.2">
      <c r="A56" s="5">
        <v>43473</v>
      </c>
      <c r="B56" s="11">
        <v>21164</v>
      </c>
      <c r="C56" s="11">
        <v>1519</v>
      </c>
      <c r="D56" s="11">
        <v>22683</v>
      </c>
      <c r="F56" s="5">
        <v>44204</v>
      </c>
      <c r="G56" s="11">
        <v>14049</v>
      </c>
      <c r="H56" s="11">
        <v>1119</v>
      </c>
      <c r="I56" s="11">
        <v>15168</v>
      </c>
      <c r="K56" s="5">
        <v>43476</v>
      </c>
      <c r="L56" s="5">
        <v>44204</v>
      </c>
      <c r="M56" s="11">
        <v>-10691</v>
      </c>
      <c r="N56" s="11">
        <v>-263</v>
      </c>
      <c r="O56" s="11">
        <v>-10954</v>
      </c>
      <c r="P56" s="8">
        <v>-0.43213419563459987</v>
      </c>
      <c r="Q56" s="8">
        <v>-0.19030390738060776</v>
      </c>
      <c r="R56" s="12">
        <v>-0.4193400199065922</v>
      </c>
    </row>
    <row r="57" spans="1:18" x14ac:dyDescent="0.2">
      <c r="A57" s="5">
        <v>43474</v>
      </c>
      <c r="B57" s="11">
        <v>21781</v>
      </c>
      <c r="C57" s="11">
        <v>1439</v>
      </c>
      <c r="D57" s="11">
        <v>23220</v>
      </c>
      <c r="F57" s="5">
        <v>44205</v>
      </c>
      <c r="G57" s="11">
        <v>6346</v>
      </c>
      <c r="H57" s="11">
        <v>490</v>
      </c>
      <c r="I57" s="11">
        <v>6836</v>
      </c>
      <c r="K57" s="5">
        <v>43477</v>
      </c>
      <c r="L57" s="5">
        <v>44205</v>
      </c>
      <c r="M57" s="11">
        <v>-12943</v>
      </c>
      <c r="N57" s="11">
        <v>-149</v>
      </c>
      <c r="O57" s="11">
        <v>-13092</v>
      </c>
      <c r="P57" s="8">
        <v>-0.67100419928456634</v>
      </c>
      <c r="Q57" s="8">
        <v>-0.23317683881064166</v>
      </c>
      <c r="R57" s="12">
        <v>-0.6569650742673625</v>
      </c>
    </row>
    <row r="58" spans="1:18" x14ac:dyDescent="0.2">
      <c r="A58" s="5">
        <v>43475</v>
      </c>
      <c r="B58" s="11">
        <v>22719</v>
      </c>
      <c r="C58" s="11">
        <v>1581</v>
      </c>
      <c r="D58" s="11">
        <v>24300</v>
      </c>
      <c r="F58" s="5">
        <v>44206</v>
      </c>
      <c r="G58" s="11">
        <v>4174</v>
      </c>
      <c r="H58" s="11">
        <v>20</v>
      </c>
      <c r="I58" s="11">
        <v>4194</v>
      </c>
      <c r="K58" s="5">
        <v>43478</v>
      </c>
      <c r="L58" s="5">
        <v>44206</v>
      </c>
      <c r="M58" s="11">
        <v>-11973</v>
      </c>
      <c r="N58" s="11">
        <v>-47</v>
      </c>
      <c r="O58" s="11">
        <v>-12020</v>
      </c>
      <c r="P58" s="8">
        <v>-0.74149996903449555</v>
      </c>
      <c r="Q58" s="8">
        <v>-0.70149253731343286</v>
      </c>
      <c r="R58" s="12">
        <v>-0.74133464906870605</v>
      </c>
    </row>
    <row r="59" spans="1:18" x14ac:dyDescent="0.2">
      <c r="A59" s="5">
        <v>43476</v>
      </c>
      <c r="B59" s="11">
        <v>24740</v>
      </c>
      <c r="C59" s="11">
        <v>1382</v>
      </c>
      <c r="D59" s="11">
        <v>26122</v>
      </c>
      <c r="F59" s="5">
        <v>44207</v>
      </c>
      <c r="G59" s="11">
        <v>14700</v>
      </c>
      <c r="H59" s="11">
        <v>1096</v>
      </c>
      <c r="I59" s="11">
        <v>15796</v>
      </c>
      <c r="K59" s="5">
        <v>43479</v>
      </c>
      <c r="L59" s="5">
        <v>44207</v>
      </c>
      <c r="M59" s="11">
        <v>-7014</v>
      </c>
      <c r="N59" s="11">
        <v>-185</v>
      </c>
      <c r="O59" s="11">
        <v>-7199</v>
      </c>
      <c r="P59" s="8">
        <v>-0.32301740812379109</v>
      </c>
      <c r="Q59" s="8">
        <v>-0.14441842310694775</v>
      </c>
      <c r="R59" s="12">
        <v>-0.31306805827353767</v>
      </c>
    </row>
    <row r="60" spans="1:18" x14ac:dyDescent="0.2">
      <c r="A60" s="5">
        <v>43477</v>
      </c>
      <c r="B60" s="11">
        <v>19289</v>
      </c>
      <c r="C60" s="11">
        <v>639</v>
      </c>
      <c r="D60" s="11">
        <v>19928</v>
      </c>
      <c r="F60" s="5">
        <v>44208</v>
      </c>
      <c r="G60" s="11">
        <v>14902</v>
      </c>
      <c r="H60" s="11">
        <v>1469</v>
      </c>
      <c r="I60" s="11">
        <v>16371</v>
      </c>
      <c r="K60" s="5">
        <v>43480</v>
      </c>
      <c r="L60" s="5">
        <v>44208</v>
      </c>
      <c r="M60" s="11">
        <v>-7231</v>
      </c>
      <c r="N60" s="11">
        <v>-294</v>
      </c>
      <c r="O60" s="11">
        <v>-7525</v>
      </c>
      <c r="P60" s="8">
        <v>-0.32670672751095653</v>
      </c>
      <c r="Q60" s="8">
        <v>-0.16676120249574589</v>
      </c>
      <c r="R60" s="12">
        <v>-0.31490626046200199</v>
      </c>
    </row>
    <row r="61" spans="1:18" x14ac:dyDescent="0.2">
      <c r="A61" s="5">
        <v>43478</v>
      </c>
      <c r="B61" s="11">
        <v>16147</v>
      </c>
      <c r="C61" s="11">
        <v>67</v>
      </c>
      <c r="D61" s="11">
        <v>16214</v>
      </c>
      <c r="F61" s="5">
        <v>44209</v>
      </c>
      <c r="G61" s="11">
        <v>15298</v>
      </c>
      <c r="H61" s="11">
        <v>1611</v>
      </c>
      <c r="I61" s="11">
        <v>16909</v>
      </c>
      <c r="K61" s="5">
        <v>43481</v>
      </c>
      <c r="L61" s="5">
        <v>44209</v>
      </c>
      <c r="M61" s="11">
        <v>-7559</v>
      </c>
      <c r="N61" s="11">
        <v>-139</v>
      </c>
      <c r="O61" s="11">
        <v>-7698</v>
      </c>
      <c r="P61" s="8">
        <v>-0.33070831692698077</v>
      </c>
      <c r="Q61" s="8">
        <v>-7.9428571428571404E-2</v>
      </c>
      <c r="R61" s="12">
        <v>-0.31283781037916036</v>
      </c>
    </row>
    <row r="62" spans="1:18" x14ac:dyDescent="0.2">
      <c r="A62" s="5">
        <v>43479</v>
      </c>
      <c r="B62" s="11">
        <v>21714</v>
      </c>
      <c r="C62" s="11">
        <v>1281</v>
      </c>
      <c r="D62" s="11">
        <v>22995</v>
      </c>
      <c r="F62" s="5">
        <v>44210</v>
      </c>
      <c r="G62" s="11">
        <v>15590</v>
      </c>
      <c r="H62" s="11">
        <v>1238</v>
      </c>
      <c r="I62" s="11">
        <v>16828</v>
      </c>
      <c r="K62" s="5">
        <v>43482</v>
      </c>
      <c r="L62" s="5">
        <v>44210</v>
      </c>
      <c r="M62" s="11">
        <v>-7401</v>
      </c>
      <c r="N62" s="11">
        <v>-521</v>
      </c>
      <c r="O62" s="11">
        <v>-7922</v>
      </c>
      <c r="P62" s="8">
        <v>-0.32190857291983821</v>
      </c>
      <c r="Q62" s="8">
        <v>-0.29619101762364985</v>
      </c>
      <c r="R62" s="12">
        <v>-0.32008080808080808</v>
      </c>
    </row>
    <row r="63" spans="1:18" x14ac:dyDescent="0.2">
      <c r="A63" s="5">
        <v>43480</v>
      </c>
      <c r="B63" s="11">
        <v>22133</v>
      </c>
      <c r="C63" s="11">
        <v>1763</v>
      </c>
      <c r="D63" s="11">
        <v>23896</v>
      </c>
      <c r="F63" s="5">
        <v>44211</v>
      </c>
      <c r="G63" s="11">
        <v>16865</v>
      </c>
      <c r="H63" s="11">
        <v>1485</v>
      </c>
      <c r="I63" s="11">
        <v>18350</v>
      </c>
      <c r="K63" s="5">
        <v>43483</v>
      </c>
      <c r="L63" s="5">
        <v>44211</v>
      </c>
      <c r="M63" s="11">
        <v>-9141</v>
      </c>
      <c r="N63" s="11">
        <v>-109</v>
      </c>
      <c r="O63" s="11">
        <v>-9250</v>
      </c>
      <c r="P63" s="8">
        <v>-0.35149580865954011</v>
      </c>
      <c r="Q63" s="8">
        <v>-6.8381430363864459E-2</v>
      </c>
      <c r="R63" s="12">
        <v>-0.33514492753623193</v>
      </c>
    </row>
    <row r="64" spans="1:18" x14ac:dyDescent="0.2">
      <c r="A64" s="5">
        <v>43481</v>
      </c>
      <c r="B64" s="11">
        <v>22857</v>
      </c>
      <c r="C64" s="11">
        <v>1750</v>
      </c>
      <c r="D64" s="11">
        <v>24607</v>
      </c>
      <c r="F64" s="5">
        <v>44212</v>
      </c>
      <c r="G64" s="11">
        <v>7439</v>
      </c>
      <c r="H64" s="11">
        <v>599</v>
      </c>
      <c r="I64" s="11">
        <v>8038</v>
      </c>
      <c r="K64" s="5">
        <v>43484</v>
      </c>
      <c r="L64" s="5">
        <v>44212</v>
      </c>
      <c r="M64" s="11">
        <v>-11691</v>
      </c>
      <c r="N64" s="11">
        <v>-18</v>
      </c>
      <c r="O64" s="11">
        <v>-11709</v>
      </c>
      <c r="P64" s="8">
        <v>-0.61113434396236277</v>
      </c>
      <c r="Q64" s="8">
        <v>-2.9173419773095621E-2</v>
      </c>
      <c r="R64" s="12">
        <v>-0.59295082797386944</v>
      </c>
    </row>
    <row r="65" spans="1:18" x14ac:dyDescent="0.2">
      <c r="A65" s="5">
        <v>43482</v>
      </c>
      <c r="B65" s="11">
        <v>22991</v>
      </c>
      <c r="C65" s="11">
        <v>1759</v>
      </c>
      <c r="D65" s="11">
        <v>24750</v>
      </c>
      <c r="F65" s="5">
        <v>44213</v>
      </c>
      <c r="G65" s="11">
        <v>3827</v>
      </c>
      <c r="H65" s="11">
        <v>18</v>
      </c>
      <c r="I65" s="11">
        <v>3845</v>
      </c>
      <c r="K65" s="5">
        <v>43485</v>
      </c>
      <c r="L65" s="5">
        <v>44213</v>
      </c>
      <c r="M65" s="11">
        <v>-12292</v>
      </c>
      <c r="N65" s="11">
        <v>-65</v>
      </c>
      <c r="O65" s="11">
        <v>-12357</v>
      </c>
      <c r="P65" s="8">
        <v>-0.76257832371735224</v>
      </c>
      <c r="Q65" s="8">
        <v>-0.7831325301204819</v>
      </c>
      <c r="R65" s="12">
        <v>-0.7626836193062585</v>
      </c>
    </row>
    <row r="66" spans="1:18" x14ac:dyDescent="0.2">
      <c r="A66" s="5">
        <v>43483</v>
      </c>
      <c r="B66" s="11">
        <v>26006</v>
      </c>
      <c r="C66" s="11">
        <v>1594</v>
      </c>
      <c r="D66" s="11">
        <v>27600</v>
      </c>
      <c r="F66" s="5">
        <v>44214</v>
      </c>
      <c r="G66" s="11">
        <v>13489</v>
      </c>
      <c r="H66" s="11">
        <v>1229</v>
      </c>
      <c r="I66" s="11">
        <v>14718</v>
      </c>
      <c r="K66" s="5">
        <v>43486</v>
      </c>
      <c r="L66" s="5">
        <v>44214</v>
      </c>
      <c r="M66" s="11">
        <v>-8192</v>
      </c>
      <c r="N66" s="11">
        <v>-193</v>
      </c>
      <c r="O66" s="11">
        <v>-8385</v>
      </c>
      <c r="P66" s="8">
        <v>-0.37784235044509018</v>
      </c>
      <c r="Q66" s="8">
        <v>-0.13572433192686362</v>
      </c>
      <c r="R66" s="12">
        <v>-0.36293987793793014</v>
      </c>
    </row>
    <row r="67" spans="1:18" x14ac:dyDescent="0.2">
      <c r="A67" s="5">
        <v>43484</v>
      </c>
      <c r="B67" s="11">
        <v>19130</v>
      </c>
      <c r="C67" s="11">
        <v>617</v>
      </c>
      <c r="D67" s="11">
        <v>19747</v>
      </c>
      <c r="F67" s="5">
        <v>44215</v>
      </c>
      <c r="G67" s="11">
        <v>14077</v>
      </c>
      <c r="H67" s="11">
        <v>1708</v>
      </c>
      <c r="I67" s="11">
        <v>15785</v>
      </c>
      <c r="K67" s="5">
        <v>43487</v>
      </c>
      <c r="L67" s="5">
        <v>44215</v>
      </c>
      <c r="M67" s="11">
        <v>-7957</v>
      </c>
      <c r="N67" s="11">
        <v>-52</v>
      </c>
      <c r="O67" s="11">
        <v>-8009</v>
      </c>
      <c r="P67" s="8">
        <v>-0.36112371789053277</v>
      </c>
      <c r="Q67" s="8">
        <v>-2.9545454545454541E-2</v>
      </c>
      <c r="R67" s="12">
        <v>-0.33659746154492731</v>
      </c>
    </row>
    <row r="68" spans="1:18" x14ac:dyDescent="0.2">
      <c r="A68" s="5">
        <v>43485</v>
      </c>
      <c r="B68" s="11">
        <v>16119</v>
      </c>
      <c r="C68" s="11">
        <v>83</v>
      </c>
      <c r="D68" s="11">
        <v>16202</v>
      </c>
      <c r="F68" s="5">
        <v>44216</v>
      </c>
      <c r="G68" s="11">
        <v>14138</v>
      </c>
      <c r="H68" s="11">
        <v>1628</v>
      </c>
      <c r="I68" s="11">
        <v>15766</v>
      </c>
      <c r="K68" s="5">
        <v>43488</v>
      </c>
      <c r="L68" s="5">
        <v>44216</v>
      </c>
      <c r="M68" s="11">
        <v>-8752</v>
      </c>
      <c r="N68" s="11">
        <v>-196</v>
      </c>
      <c r="O68" s="11">
        <v>-8948</v>
      </c>
      <c r="P68" s="8">
        <v>-0.38235037134119698</v>
      </c>
      <c r="Q68" s="8">
        <v>-0.10745614035087714</v>
      </c>
      <c r="R68" s="12">
        <v>-0.36206198915594401</v>
      </c>
    </row>
    <row r="69" spans="1:18" x14ac:dyDescent="0.2">
      <c r="A69" s="5">
        <v>43486</v>
      </c>
      <c r="B69" s="11">
        <v>21681</v>
      </c>
      <c r="C69" s="11">
        <v>1422</v>
      </c>
      <c r="D69" s="11">
        <v>23103</v>
      </c>
      <c r="F69" s="5">
        <v>44217</v>
      </c>
      <c r="G69" s="11">
        <v>14247</v>
      </c>
      <c r="H69" s="11">
        <v>1678</v>
      </c>
      <c r="I69" s="11">
        <v>15925</v>
      </c>
      <c r="K69" s="5">
        <v>43489</v>
      </c>
      <c r="L69" s="5">
        <v>44217</v>
      </c>
      <c r="M69" s="11">
        <v>-9137</v>
      </c>
      <c r="N69" s="11">
        <v>-143</v>
      </c>
      <c r="O69" s="11">
        <v>-9280</v>
      </c>
      <c r="P69" s="8">
        <v>-0.39073725624358535</v>
      </c>
      <c r="Q69" s="8">
        <v>-7.8528281164195524E-2</v>
      </c>
      <c r="R69" s="12">
        <v>-0.36818091648482443</v>
      </c>
    </row>
    <row r="70" spans="1:18" x14ac:dyDescent="0.2">
      <c r="A70" s="5">
        <v>43487</v>
      </c>
      <c r="B70" s="11">
        <v>22034</v>
      </c>
      <c r="C70" s="11">
        <v>1760</v>
      </c>
      <c r="D70" s="11">
        <v>23794</v>
      </c>
      <c r="F70" s="5">
        <v>44218</v>
      </c>
      <c r="G70" s="11">
        <v>15204</v>
      </c>
      <c r="H70" s="11">
        <v>1392</v>
      </c>
      <c r="I70" s="11">
        <v>16596</v>
      </c>
      <c r="K70" s="5">
        <v>43490</v>
      </c>
      <c r="L70" s="5">
        <v>44218</v>
      </c>
      <c r="M70" s="11">
        <v>-11680</v>
      </c>
      <c r="N70" s="11">
        <v>-181</v>
      </c>
      <c r="O70" s="11">
        <v>-11861</v>
      </c>
      <c r="P70" s="8">
        <v>-0.43445915786341316</v>
      </c>
      <c r="Q70" s="8">
        <v>-0.1150667514303878</v>
      </c>
      <c r="R70" s="12">
        <v>-0.41680430122641177</v>
      </c>
    </row>
    <row r="71" spans="1:18" x14ac:dyDescent="0.2">
      <c r="A71" s="5">
        <v>43488</v>
      </c>
      <c r="B71" s="11">
        <v>22890</v>
      </c>
      <c r="C71" s="11">
        <v>1824</v>
      </c>
      <c r="D71" s="11">
        <v>24714</v>
      </c>
      <c r="F71" s="5">
        <v>44219</v>
      </c>
      <c r="G71" s="11">
        <v>6243</v>
      </c>
      <c r="H71" s="11">
        <v>556</v>
      </c>
      <c r="I71" s="11">
        <v>6799</v>
      </c>
      <c r="K71" s="5">
        <v>43491</v>
      </c>
      <c r="L71" s="5">
        <v>44219</v>
      </c>
      <c r="M71" s="11">
        <v>-14414</v>
      </c>
      <c r="N71" s="11">
        <v>-62</v>
      </c>
      <c r="O71" s="11">
        <v>-14476</v>
      </c>
      <c r="P71" s="8">
        <v>-0.6977779929321779</v>
      </c>
      <c r="Q71" s="8">
        <v>-0.10032362459546929</v>
      </c>
      <c r="R71" s="12">
        <v>-0.68042303172737961</v>
      </c>
    </row>
    <row r="72" spans="1:18" x14ac:dyDescent="0.2">
      <c r="A72" s="5">
        <v>43489</v>
      </c>
      <c r="B72" s="11">
        <v>23384</v>
      </c>
      <c r="C72" s="11">
        <v>1821</v>
      </c>
      <c r="D72" s="11">
        <v>25205</v>
      </c>
      <c r="F72" s="5">
        <v>44220</v>
      </c>
      <c r="G72" s="11">
        <v>4320</v>
      </c>
      <c r="H72" s="11">
        <v>27</v>
      </c>
      <c r="I72" s="11">
        <v>4347</v>
      </c>
      <c r="K72" s="5">
        <v>43492</v>
      </c>
      <c r="L72" s="5">
        <v>44220</v>
      </c>
      <c r="M72" s="11">
        <v>-10573</v>
      </c>
      <c r="N72" s="11">
        <v>-79</v>
      </c>
      <c r="O72" s="11">
        <v>-10652</v>
      </c>
      <c r="P72" s="8">
        <v>-0.70993083999194251</v>
      </c>
      <c r="Q72" s="8">
        <v>-0.74528301886792447</v>
      </c>
      <c r="R72" s="12">
        <v>-0.71018067871191415</v>
      </c>
    </row>
    <row r="73" spans="1:18" x14ac:dyDescent="0.2">
      <c r="A73" s="5">
        <v>43490</v>
      </c>
      <c r="B73" s="11">
        <v>26884</v>
      </c>
      <c r="C73" s="11">
        <v>1573</v>
      </c>
      <c r="D73" s="11">
        <v>28457</v>
      </c>
      <c r="F73" s="5">
        <v>44221</v>
      </c>
      <c r="G73" s="11">
        <v>14013</v>
      </c>
      <c r="H73" s="11">
        <v>1225</v>
      </c>
      <c r="I73" s="11">
        <v>15238</v>
      </c>
      <c r="K73" s="5">
        <v>43493</v>
      </c>
      <c r="L73" s="5">
        <v>44221</v>
      </c>
      <c r="M73" s="11">
        <f t="shared" ref="M73:M75" si="4">G73-B76</f>
        <v>-7820</v>
      </c>
      <c r="N73" s="11">
        <f t="shared" ref="N73:N75" si="5">H73-C76</f>
        <v>-180</v>
      </c>
      <c r="O73" s="11">
        <f t="shared" ref="O73:O75" si="6">I73-D76</f>
        <v>-8000</v>
      </c>
      <c r="P73" s="8">
        <f t="shared" ref="P73:P75" si="7">G73/B76-1</f>
        <v>-0.35817340722759128</v>
      </c>
      <c r="Q73" s="8">
        <f t="shared" ref="Q73:Q75" si="8">H73/C76-1</f>
        <v>-0.12811387900355875</v>
      </c>
      <c r="R73" s="12">
        <f t="shared" ref="R73:R75" si="9">I73/D76-1</f>
        <v>-0.34426370599879508</v>
      </c>
    </row>
    <row r="74" spans="1:18" x14ac:dyDescent="0.2">
      <c r="A74" s="5">
        <v>43491</v>
      </c>
      <c r="B74" s="11">
        <v>20657</v>
      </c>
      <c r="C74" s="11">
        <v>618</v>
      </c>
      <c r="D74" s="11">
        <v>21275</v>
      </c>
      <c r="F74" s="5">
        <v>44222</v>
      </c>
      <c r="G74" s="11">
        <v>14714</v>
      </c>
      <c r="H74" s="11">
        <v>1625</v>
      </c>
      <c r="I74" s="11">
        <v>16339</v>
      </c>
      <c r="K74" s="5">
        <v>43494</v>
      </c>
      <c r="L74" s="5">
        <v>44222</v>
      </c>
      <c r="M74" s="11">
        <f t="shared" si="4"/>
        <v>-8041</v>
      </c>
      <c r="N74" s="11">
        <f t="shared" si="5"/>
        <v>-84</v>
      </c>
      <c r="O74" s="11">
        <f t="shared" si="6"/>
        <v>-8125</v>
      </c>
      <c r="P74" s="8">
        <f t="shared" si="7"/>
        <v>-0.35337288508020215</v>
      </c>
      <c r="Q74" s="8">
        <f t="shared" si="8"/>
        <v>-4.9151550614394357E-2</v>
      </c>
      <c r="R74" s="12">
        <f t="shared" si="9"/>
        <v>-0.33212066710268151</v>
      </c>
    </row>
    <row r="75" spans="1:18" x14ac:dyDescent="0.2">
      <c r="A75" s="5">
        <v>43492</v>
      </c>
      <c r="B75" s="11">
        <v>14893</v>
      </c>
      <c r="C75" s="11">
        <v>106</v>
      </c>
      <c r="D75" s="11">
        <v>14999</v>
      </c>
      <c r="F75" s="5">
        <v>44223</v>
      </c>
      <c r="G75" s="11">
        <v>14863</v>
      </c>
      <c r="H75" s="11">
        <v>1269</v>
      </c>
      <c r="I75" s="11">
        <v>16132</v>
      </c>
      <c r="K75" s="5">
        <v>43495</v>
      </c>
      <c r="L75" s="5">
        <v>44223</v>
      </c>
      <c r="M75" s="11">
        <f t="shared" si="4"/>
        <v>-7405</v>
      </c>
      <c r="N75" s="11">
        <f t="shared" si="5"/>
        <v>-639</v>
      </c>
      <c r="O75" s="11">
        <f t="shared" si="6"/>
        <v>-8044</v>
      </c>
      <c r="P75" s="8">
        <f t="shared" si="7"/>
        <v>-0.33253996766660676</v>
      </c>
      <c r="Q75" s="8">
        <f t="shared" si="8"/>
        <v>-0.33490566037735847</v>
      </c>
      <c r="R75" s="12">
        <f t="shared" si="9"/>
        <v>-0.33272667107875575</v>
      </c>
    </row>
    <row r="76" spans="1:18" x14ac:dyDescent="0.2">
      <c r="A76" s="5">
        <v>43493</v>
      </c>
      <c r="B76" s="11">
        <v>21833</v>
      </c>
      <c r="C76" s="11">
        <v>1405</v>
      </c>
      <c r="D76" s="11">
        <v>23238</v>
      </c>
      <c r="F76" s="5">
        <v>44224</v>
      </c>
      <c r="G76" s="11">
        <v>15363</v>
      </c>
      <c r="H76" s="11">
        <v>1572</v>
      </c>
      <c r="I76" s="11">
        <v>16935</v>
      </c>
      <c r="K76" s="5">
        <v>43496</v>
      </c>
      <c r="L76" s="5">
        <v>44224</v>
      </c>
      <c r="M76" s="11">
        <f t="shared" ref="M76:M79" si="10">G76-B79</f>
        <v>-8331</v>
      </c>
      <c r="N76" s="11">
        <f t="shared" ref="N76:N79" si="11">H76-C79</f>
        <v>-266</v>
      </c>
      <c r="O76" s="11">
        <f t="shared" ref="O76:O79" si="12">I76-D79</f>
        <v>-8597</v>
      </c>
      <c r="P76" s="8">
        <f t="shared" ref="P76:P79" si="13">G76/B79-1</f>
        <v>-0.35160800202582931</v>
      </c>
      <c r="Q76" s="8">
        <f t="shared" ref="Q76:Q79" si="14">H76/C79-1</f>
        <v>-0.14472252448313383</v>
      </c>
      <c r="R76" s="12">
        <f t="shared" ref="R76:R79" si="15">I76/D79-1</f>
        <v>-0.3367147109509635</v>
      </c>
    </row>
    <row r="77" spans="1:18" x14ac:dyDescent="0.2">
      <c r="A77" s="5">
        <v>43494</v>
      </c>
      <c r="B77" s="11">
        <v>22755</v>
      </c>
      <c r="C77" s="11">
        <v>1709</v>
      </c>
      <c r="D77" s="11">
        <v>24464</v>
      </c>
      <c r="F77" s="5">
        <v>44225</v>
      </c>
      <c r="G77" s="11">
        <v>16965</v>
      </c>
      <c r="H77" s="11">
        <v>1437</v>
      </c>
      <c r="I77" s="11">
        <v>18402</v>
      </c>
      <c r="K77" s="5">
        <v>43497</v>
      </c>
      <c r="L77" s="5">
        <v>44225</v>
      </c>
      <c r="M77" s="11">
        <f t="shared" si="10"/>
        <v>-1242</v>
      </c>
      <c r="N77" s="11">
        <f t="shared" si="11"/>
        <v>116</v>
      </c>
      <c r="O77" s="11">
        <f t="shared" si="12"/>
        <v>-1126</v>
      </c>
      <c r="P77" s="8">
        <f t="shared" si="13"/>
        <v>-6.8215521502718701E-2</v>
      </c>
      <c r="Q77" s="8">
        <f t="shared" si="14"/>
        <v>8.7812263436790383E-2</v>
      </c>
      <c r="R77" s="12">
        <f t="shared" si="15"/>
        <v>-5.7660794756247413E-2</v>
      </c>
    </row>
    <row r="78" spans="1:18" x14ac:dyDescent="0.2">
      <c r="A78" s="5">
        <v>43495</v>
      </c>
      <c r="B78" s="11">
        <v>22268</v>
      </c>
      <c r="C78" s="11">
        <v>1908</v>
      </c>
      <c r="D78" s="11">
        <v>24176</v>
      </c>
      <c r="F78" s="5">
        <v>44226</v>
      </c>
      <c r="G78" s="11">
        <v>7940</v>
      </c>
      <c r="H78" s="11">
        <v>465</v>
      </c>
      <c r="I78" s="11">
        <v>8405</v>
      </c>
      <c r="K78" s="5">
        <v>43498</v>
      </c>
      <c r="L78" s="5">
        <v>44226</v>
      </c>
      <c r="M78" s="11">
        <f t="shared" si="10"/>
        <v>-8897</v>
      </c>
      <c r="N78" s="11">
        <f t="shared" si="11"/>
        <v>-330</v>
      </c>
      <c r="O78" s="11">
        <f t="shared" si="12"/>
        <v>-9227</v>
      </c>
      <c r="P78" s="8">
        <f t="shared" si="13"/>
        <v>-0.52841955217675363</v>
      </c>
      <c r="Q78" s="8">
        <f t="shared" si="14"/>
        <v>-0.41509433962264153</v>
      </c>
      <c r="R78" s="12">
        <f t="shared" si="15"/>
        <v>-0.52330989110707804</v>
      </c>
    </row>
    <row r="79" spans="1:18" x14ac:dyDescent="0.2">
      <c r="A79" s="5">
        <v>43496</v>
      </c>
      <c r="B79" s="11">
        <v>23694</v>
      </c>
      <c r="C79" s="11">
        <v>1838</v>
      </c>
      <c r="D79" s="11">
        <v>25532</v>
      </c>
      <c r="F79" s="5">
        <v>44227</v>
      </c>
      <c r="G79" s="11">
        <v>4805</v>
      </c>
      <c r="H79" s="11">
        <v>15</v>
      </c>
      <c r="I79" s="11">
        <v>4820</v>
      </c>
      <c r="K79" s="5">
        <v>43499</v>
      </c>
      <c r="L79" s="5">
        <v>44227</v>
      </c>
      <c r="M79" s="11">
        <f t="shared" si="10"/>
        <v>-10243</v>
      </c>
      <c r="N79" s="11">
        <f t="shared" si="11"/>
        <v>-75</v>
      </c>
      <c r="O79" s="11">
        <f t="shared" si="12"/>
        <v>-10318</v>
      </c>
      <c r="P79" s="8">
        <f t="shared" si="13"/>
        <v>-0.68068846358320045</v>
      </c>
      <c r="Q79" s="8">
        <f t="shared" si="14"/>
        <v>-0.83333333333333337</v>
      </c>
      <c r="R79" s="12">
        <f t="shared" si="15"/>
        <v>-0.68159598361738671</v>
      </c>
    </row>
    <row r="80" spans="1:18" x14ac:dyDescent="0.2">
      <c r="A80" s="5">
        <v>43497</v>
      </c>
      <c r="B80" s="11">
        <v>18207</v>
      </c>
      <c r="C80" s="11">
        <v>1321</v>
      </c>
      <c r="D80" s="11">
        <v>19528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">
      <c r="A81" s="5">
        <v>43498</v>
      </c>
      <c r="B81" s="11">
        <v>16837</v>
      </c>
      <c r="C81" s="11">
        <v>795</v>
      </c>
      <c r="D81" s="11">
        <v>17632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2">
      <c r="A82" s="5">
        <v>43499</v>
      </c>
      <c r="B82" s="11">
        <v>15048</v>
      </c>
      <c r="C82" s="11">
        <v>90</v>
      </c>
      <c r="D82" s="11">
        <v>15138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2">
      <c r="A83" s="5"/>
      <c r="B83" s="11"/>
      <c r="C83" s="11"/>
      <c r="D83" s="11"/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2">
      <c r="B84" s="2"/>
      <c r="C84" s="2"/>
      <c r="G84" s="2"/>
      <c r="H84" s="2"/>
    </row>
    <row r="85" spans="1:18" ht="12.95" customHeight="1" x14ac:dyDescent="0.2">
      <c r="A85" s="23" t="s">
        <v>18</v>
      </c>
      <c r="B85" s="6"/>
      <c r="C85" s="6"/>
      <c r="D85" s="3"/>
      <c r="F85" s="23" t="s">
        <v>18</v>
      </c>
      <c r="G85" s="6"/>
      <c r="H85" s="6"/>
      <c r="I85" s="3"/>
      <c r="K85" s="23" t="s">
        <v>19</v>
      </c>
      <c r="L85" s="23"/>
      <c r="M85" s="6"/>
      <c r="N85" s="6"/>
      <c r="O85" s="3"/>
      <c r="P85" s="6"/>
      <c r="Q85" s="6"/>
      <c r="R85" s="3"/>
    </row>
    <row r="86" spans="1:18" ht="26.45" customHeight="1" x14ac:dyDescent="0.2">
      <c r="A86" s="24"/>
      <c r="B86" s="7" t="s">
        <v>38</v>
      </c>
      <c r="C86" s="4" t="s">
        <v>2</v>
      </c>
      <c r="D86" s="4" t="s">
        <v>0</v>
      </c>
      <c r="F86" s="24"/>
      <c r="G86" s="7" t="s">
        <v>38</v>
      </c>
      <c r="H86" s="4" t="s">
        <v>2</v>
      </c>
      <c r="I86" s="4" t="s">
        <v>0</v>
      </c>
      <c r="K86" s="24"/>
      <c r="L86" s="24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2">
      <c r="A87" s="5">
        <v>43466</v>
      </c>
      <c r="B87" s="11">
        <v>16204</v>
      </c>
      <c r="C87" s="11">
        <v>113</v>
      </c>
      <c r="D87" s="11">
        <v>16317</v>
      </c>
      <c r="F87" s="5">
        <v>44197</v>
      </c>
      <c r="G87" s="11">
        <v>2783</v>
      </c>
      <c r="H87" s="11">
        <v>8</v>
      </c>
      <c r="I87" s="11">
        <v>2791</v>
      </c>
      <c r="K87" s="5">
        <v>43469</v>
      </c>
      <c r="L87" s="5">
        <v>44197</v>
      </c>
      <c r="M87" s="11">
        <v>-23394</v>
      </c>
      <c r="N87" s="11">
        <v>-908</v>
      </c>
      <c r="O87" s="11">
        <v>-24302</v>
      </c>
      <c r="P87" s="8">
        <v>-0.89368529625243531</v>
      </c>
      <c r="Q87" s="8">
        <v>-0.99126637554585151</v>
      </c>
      <c r="R87" s="12">
        <v>-0.8969844609308677</v>
      </c>
    </row>
    <row r="88" spans="1:18" x14ac:dyDescent="0.2">
      <c r="A88" s="5">
        <v>43467</v>
      </c>
      <c r="B88" s="11">
        <v>25095</v>
      </c>
      <c r="C88" s="11">
        <v>750</v>
      </c>
      <c r="D88" s="11">
        <v>25845</v>
      </c>
      <c r="F88" s="5">
        <v>44198</v>
      </c>
      <c r="G88" s="11">
        <v>6862</v>
      </c>
      <c r="H88" s="11">
        <v>84</v>
      </c>
      <c r="I88" s="11">
        <v>6946</v>
      </c>
      <c r="K88" s="5">
        <v>43470</v>
      </c>
      <c r="L88" s="5">
        <v>44198</v>
      </c>
      <c r="M88" s="11">
        <v>-21817</v>
      </c>
      <c r="N88" s="11">
        <v>-415</v>
      </c>
      <c r="O88" s="11">
        <v>-22232</v>
      </c>
      <c r="P88" s="8">
        <v>-0.76073084835593985</v>
      </c>
      <c r="Q88" s="8">
        <v>-0.83166332665330667</v>
      </c>
      <c r="R88" s="12">
        <v>-0.76194393035848929</v>
      </c>
    </row>
    <row r="89" spans="1:18" x14ac:dyDescent="0.2">
      <c r="A89" s="5">
        <v>43468</v>
      </c>
      <c r="B89" s="11">
        <v>24143</v>
      </c>
      <c r="C89" s="11">
        <v>828</v>
      </c>
      <c r="D89" s="11">
        <v>24971</v>
      </c>
      <c r="F89" s="5">
        <v>44199</v>
      </c>
      <c r="G89" s="11">
        <v>6180</v>
      </c>
      <c r="H89" s="11">
        <v>28</v>
      </c>
      <c r="I89" s="11">
        <v>6208</v>
      </c>
      <c r="K89" s="5">
        <v>43471</v>
      </c>
      <c r="L89" s="5">
        <v>44199</v>
      </c>
      <c r="M89" s="11">
        <v>-18390</v>
      </c>
      <c r="N89" s="11">
        <v>-111</v>
      </c>
      <c r="O89" s="11">
        <v>-18501</v>
      </c>
      <c r="P89" s="8">
        <v>-0.74847374847374848</v>
      </c>
      <c r="Q89" s="8">
        <v>-0.79856115107913672</v>
      </c>
      <c r="R89" s="12">
        <v>-0.74875551418511477</v>
      </c>
    </row>
    <row r="90" spans="1:18" x14ac:dyDescent="0.2">
      <c r="A90" s="5">
        <v>43469</v>
      </c>
      <c r="B90" s="11">
        <v>26177</v>
      </c>
      <c r="C90" s="11">
        <v>916</v>
      </c>
      <c r="D90" s="11">
        <v>27093</v>
      </c>
      <c r="F90" s="5">
        <v>44200</v>
      </c>
      <c r="G90" s="11">
        <v>11388</v>
      </c>
      <c r="H90" s="11">
        <v>840</v>
      </c>
      <c r="I90" s="11">
        <v>12228</v>
      </c>
      <c r="K90" s="5">
        <v>43472</v>
      </c>
      <c r="L90" s="5">
        <v>44200</v>
      </c>
      <c r="M90" s="11">
        <v>-11692</v>
      </c>
      <c r="N90" s="11">
        <v>-494</v>
      </c>
      <c r="O90" s="11">
        <v>-12186</v>
      </c>
      <c r="P90" s="8">
        <v>-0.50658578856152514</v>
      </c>
      <c r="Q90" s="8">
        <v>-0.37031484257871061</v>
      </c>
      <c r="R90" s="12">
        <v>-0.49913983779798476</v>
      </c>
    </row>
    <row r="91" spans="1:18" x14ac:dyDescent="0.2">
      <c r="A91" s="5">
        <v>43470</v>
      </c>
      <c r="B91" s="11">
        <v>28679</v>
      </c>
      <c r="C91" s="11">
        <v>499</v>
      </c>
      <c r="D91" s="11">
        <v>29178</v>
      </c>
      <c r="F91" s="5">
        <v>44201</v>
      </c>
      <c r="G91" s="11">
        <v>10156</v>
      </c>
      <c r="H91" s="11">
        <v>1008</v>
      </c>
      <c r="I91" s="11">
        <v>11164</v>
      </c>
      <c r="K91" s="5">
        <v>43473</v>
      </c>
      <c r="L91" s="5">
        <v>44201</v>
      </c>
      <c r="M91" s="11">
        <v>-11854</v>
      </c>
      <c r="N91" s="11">
        <v>-610</v>
      </c>
      <c r="O91" s="11">
        <v>-12464</v>
      </c>
      <c r="P91" s="8">
        <v>-0.53857337573830077</v>
      </c>
      <c r="Q91" s="8">
        <v>-0.37700865265760197</v>
      </c>
      <c r="R91" s="12">
        <v>-0.52750973421364478</v>
      </c>
    </row>
    <row r="92" spans="1:18" x14ac:dyDescent="0.2">
      <c r="A92" s="5">
        <v>43471</v>
      </c>
      <c r="B92" s="11">
        <v>24570</v>
      </c>
      <c r="C92" s="11">
        <v>139</v>
      </c>
      <c r="D92" s="11">
        <v>24709</v>
      </c>
      <c r="F92" s="5">
        <v>44202</v>
      </c>
      <c r="G92" s="11">
        <v>4005</v>
      </c>
      <c r="H92" s="11">
        <v>46</v>
      </c>
      <c r="I92" s="11">
        <v>4051</v>
      </c>
      <c r="K92" s="5">
        <v>43474</v>
      </c>
      <c r="L92" s="5">
        <v>44202</v>
      </c>
      <c r="M92" s="11">
        <v>-18139</v>
      </c>
      <c r="N92" s="11">
        <v>-1586</v>
      </c>
      <c r="O92" s="11">
        <v>-19725</v>
      </c>
      <c r="P92" s="8">
        <v>-0.81913836705202314</v>
      </c>
      <c r="Q92" s="8">
        <v>-0.97181372549019607</v>
      </c>
      <c r="R92" s="12">
        <v>-0.82961810228802157</v>
      </c>
    </row>
    <row r="93" spans="1:18" x14ac:dyDescent="0.2">
      <c r="A93" s="5">
        <v>43472</v>
      </c>
      <c r="B93" s="11">
        <v>23080</v>
      </c>
      <c r="C93" s="11">
        <v>1334</v>
      </c>
      <c r="D93" s="11">
        <v>24414</v>
      </c>
      <c r="F93" s="5">
        <v>44203</v>
      </c>
      <c r="G93" s="11">
        <v>13608</v>
      </c>
      <c r="H93" s="11">
        <v>975</v>
      </c>
      <c r="I93" s="11">
        <v>14583</v>
      </c>
      <c r="K93" s="5">
        <v>43475</v>
      </c>
      <c r="L93" s="5">
        <v>44203</v>
      </c>
      <c r="M93" s="11">
        <v>-8899</v>
      </c>
      <c r="N93" s="11">
        <v>-491</v>
      </c>
      <c r="O93" s="11">
        <v>-9390</v>
      </c>
      <c r="P93" s="8">
        <v>-0.39538810147953973</v>
      </c>
      <c r="Q93" s="8">
        <v>-0.334924965893588</v>
      </c>
      <c r="R93" s="12">
        <v>-0.39169065198348141</v>
      </c>
    </row>
    <row r="94" spans="1:18" x14ac:dyDescent="0.2">
      <c r="A94" s="5">
        <v>43473</v>
      </c>
      <c r="B94" s="11">
        <v>22010</v>
      </c>
      <c r="C94" s="11">
        <v>1618</v>
      </c>
      <c r="D94" s="11">
        <v>23628</v>
      </c>
      <c r="F94" s="5">
        <v>44204</v>
      </c>
      <c r="G94" s="11">
        <v>13804</v>
      </c>
      <c r="H94" s="11">
        <v>1161</v>
      </c>
      <c r="I94" s="11">
        <v>14965</v>
      </c>
      <c r="K94" s="5">
        <v>43476</v>
      </c>
      <c r="L94" s="5">
        <v>44204</v>
      </c>
      <c r="M94" s="11">
        <v>-9088</v>
      </c>
      <c r="N94" s="11">
        <v>-228</v>
      </c>
      <c r="O94" s="11">
        <v>-9316</v>
      </c>
      <c r="P94" s="8">
        <v>-0.39699458326052772</v>
      </c>
      <c r="Q94" s="8">
        <v>-0.16414686825053992</v>
      </c>
      <c r="R94" s="12">
        <v>-0.38367447798690335</v>
      </c>
    </row>
    <row r="95" spans="1:18" x14ac:dyDescent="0.2">
      <c r="A95" s="5">
        <v>43474</v>
      </c>
      <c r="B95" s="11">
        <v>22144</v>
      </c>
      <c r="C95" s="11">
        <v>1632</v>
      </c>
      <c r="D95" s="11">
        <v>23776</v>
      </c>
      <c r="F95" s="5">
        <v>44205</v>
      </c>
      <c r="G95" s="11">
        <v>8375</v>
      </c>
      <c r="H95" s="11">
        <v>551</v>
      </c>
      <c r="I95" s="11">
        <v>8926</v>
      </c>
      <c r="K95" s="5">
        <v>43477</v>
      </c>
      <c r="L95" s="5">
        <v>44205</v>
      </c>
      <c r="M95" s="11">
        <v>-12102</v>
      </c>
      <c r="N95" s="11">
        <v>-137</v>
      </c>
      <c r="O95" s="11">
        <v>-12239</v>
      </c>
      <c r="P95" s="8">
        <v>-0.59100454168091021</v>
      </c>
      <c r="Q95" s="8">
        <v>-0.19912790697674421</v>
      </c>
      <c r="R95" s="12">
        <v>-0.57826600519725968</v>
      </c>
    </row>
    <row r="96" spans="1:18" x14ac:dyDescent="0.2">
      <c r="A96" s="5">
        <v>43475</v>
      </c>
      <c r="B96" s="11">
        <v>22507</v>
      </c>
      <c r="C96" s="11">
        <v>1466</v>
      </c>
      <c r="D96" s="11">
        <v>23973</v>
      </c>
      <c r="F96" s="5">
        <v>44206</v>
      </c>
      <c r="G96" s="11">
        <v>6617</v>
      </c>
      <c r="H96" s="11">
        <v>19</v>
      </c>
      <c r="I96" s="11">
        <v>6636</v>
      </c>
      <c r="K96" s="5">
        <v>43478</v>
      </c>
      <c r="L96" s="5">
        <v>44206</v>
      </c>
      <c r="M96" s="11">
        <v>-12445</v>
      </c>
      <c r="N96" s="11">
        <v>-70</v>
      </c>
      <c r="O96" s="11">
        <v>-12515</v>
      </c>
      <c r="P96" s="8">
        <v>-0.65286958346448432</v>
      </c>
      <c r="Q96" s="8">
        <v>-0.7865168539325843</v>
      </c>
      <c r="R96" s="12">
        <v>-0.65349067933789362</v>
      </c>
    </row>
    <row r="97" spans="1:18" x14ac:dyDescent="0.2">
      <c r="A97" s="5">
        <v>43476</v>
      </c>
      <c r="B97" s="11">
        <v>22892</v>
      </c>
      <c r="C97" s="11">
        <v>1389</v>
      </c>
      <c r="D97" s="11">
        <v>24281</v>
      </c>
      <c r="F97" s="5">
        <v>44207</v>
      </c>
      <c r="G97" s="11">
        <v>14984</v>
      </c>
      <c r="H97" s="11">
        <v>1488</v>
      </c>
      <c r="I97" s="11">
        <v>16472</v>
      </c>
      <c r="K97" s="5">
        <v>43479</v>
      </c>
      <c r="L97" s="5">
        <v>44207</v>
      </c>
      <c r="M97" s="11">
        <v>-7469</v>
      </c>
      <c r="N97" s="11">
        <v>-129</v>
      </c>
      <c r="O97" s="11">
        <v>-7598</v>
      </c>
      <c r="P97" s="8">
        <v>-0.33265042533291767</v>
      </c>
      <c r="Q97" s="8">
        <v>-7.9777365491651153E-2</v>
      </c>
      <c r="R97" s="12">
        <v>-0.31566265060240961</v>
      </c>
    </row>
    <row r="98" spans="1:18" x14ac:dyDescent="0.2">
      <c r="A98" s="5">
        <v>43477</v>
      </c>
      <c r="B98" s="11">
        <v>20477</v>
      </c>
      <c r="C98" s="11">
        <v>688</v>
      </c>
      <c r="D98" s="11">
        <v>21165</v>
      </c>
      <c r="F98" s="5">
        <v>44208</v>
      </c>
      <c r="G98" s="11">
        <v>14437</v>
      </c>
      <c r="H98" s="11">
        <v>1673</v>
      </c>
      <c r="I98" s="11">
        <v>16110</v>
      </c>
      <c r="K98" s="5">
        <v>43480</v>
      </c>
      <c r="L98" s="5">
        <v>44208</v>
      </c>
      <c r="M98" s="11">
        <v>-7277</v>
      </c>
      <c r="N98" s="11">
        <v>-168</v>
      </c>
      <c r="O98" s="11">
        <v>-7445</v>
      </c>
      <c r="P98" s="8">
        <v>-0.33512940959749471</v>
      </c>
      <c r="Q98" s="8">
        <v>-9.125475285171103E-2</v>
      </c>
      <c r="R98" s="12">
        <v>-0.31606877520696242</v>
      </c>
    </row>
    <row r="99" spans="1:18" x14ac:dyDescent="0.2">
      <c r="A99" s="5">
        <v>43478</v>
      </c>
      <c r="B99" s="11">
        <v>19062</v>
      </c>
      <c r="C99" s="11">
        <v>89</v>
      </c>
      <c r="D99" s="11">
        <v>19151</v>
      </c>
      <c r="F99" s="5">
        <v>44209</v>
      </c>
      <c r="G99" s="11">
        <v>14395</v>
      </c>
      <c r="H99" s="11">
        <v>1688</v>
      </c>
      <c r="I99" s="11">
        <v>16083</v>
      </c>
      <c r="K99" s="5">
        <v>43481</v>
      </c>
      <c r="L99" s="5">
        <v>44209</v>
      </c>
      <c r="M99" s="11">
        <v>-7426</v>
      </c>
      <c r="N99" s="11">
        <v>-156</v>
      </c>
      <c r="O99" s="11">
        <v>-7582</v>
      </c>
      <c r="P99" s="8">
        <v>-0.34031437605975889</v>
      </c>
      <c r="Q99" s="8">
        <v>-8.4598698481561874E-2</v>
      </c>
      <c r="R99" s="12">
        <v>-0.32038875977181491</v>
      </c>
    </row>
    <row r="100" spans="1:18" x14ac:dyDescent="0.2">
      <c r="A100" s="5">
        <v>43479</v>
      </c>
      <c r="B100" s="11">
        <v>22453</v>
      </c>
      <c r="C100" s="11">
        <v>1617</v>
      </c>
      <c r="D100" s="11">
        <v>24070</v>
      </c>
      <c r="F100" s="5">
        <v>44210</v>
      </c>
      <c r="G100" s="11">
        <v>14790</v>
      </c>
      <c r="H100" s="11">
        <v>1410</v>
      </c>
      <c r="I100" s="11">
        <v>16200</v>
      </c>
      <c r="K100" s="5">
        <v>43482</v>
      </c>
      <c r="L100" s="5">
        <v>44210</v>
      </c>
      <c r="M100" s="11">
        <v>-7358</v>
      </c>
      <c r="N100" s="11">
        <v>-257</v>
      </c>
      <c r="O100" s="11">
        <v>-7615</v>
      </c>
      <c r="P100" s="8">
        <v>-0.33221961350912044</v>
      </c>
      <c r="Q100" s="8">
        <v>-0.15416916616676668</v>
      </c>
      <c r="R100" s="12">
        <v>-0.31975645601511649</v>
      </c>
    </row>
    <row r="101" spans="1:18" x14ac:dyDescent="0.2">
      <c r="A101" s="5">
        <v>43480</v>
      </c>
      <c r="B101" s="11">
        <v>21714</v>
      </c>
      <c r="C101" s="11">
        <v>1841</v>
      </c>
      <c r="D101" s="11">
        <v>23555</v>
      </c>
      <c r="F101" s="5">
        <v>44211</v>
      </c>
      <c r="G101" s="11">
        <v>14808</v>
      </c>
      <c r="H101" s="11">
        <v>1189</v>
      </c>
      <c r="I101" s="11">
        <v>15997</v>
      </c>
      <c r="K101" s="5">
        <v>43483</v>
      </c>
      <c r="L101" s="5">
        <v>44211</v>
      </c>
      <c r="M101" s="11">
        <v>-7985</v>
      </c>
      <c r="N101" s="11">
        <v>-322</v>
      </c>
      <c r="O101" s="11">
        <v>-8307</v>
      </c>
      <c r="P101" s="8">
        <v>-0.35032685473610314</v>
      </c>
      <c r="Q101" s="8">
        <v>-0.21310390469887497</v>
      </c>
      <c r="R101" s="12">
        <v>-0.34179558920342334</v>
      </c>
    </row>
    <row r="102" spans="1:18" x14ac:dyDescent="0.2">
      <c r="A102" s="5">
        <v>43481</v>
      </c>
      <c r="B102" s="11">
        <v>21821</v>
      </c>
      <c r="C102" s="11">
        <v>1844</v>
      </c>
      <c r="D102" s="11">
        <v>23665</v>
      </c>
      <c r="F102" s="5">
        <v>44212</v>
      </c>
      <c r="G102" s="11">
        <v>7392</v>
      </c>
      <c r="H102" s="11">
        <v>576</v>
      </c>
      <c r="I102" s="11">
        <v>7968</v>
      </c>
      <c r="K102" s="5">
        <v>43484</v>
      </c>
      <c r="L102" s="5">
        <v>44212</v>
      </c>
      <c r="M102" s="11">
        <v>-11329</v>
      </c>
      <c r="N102" s="11">
        <v>-165</v>
      </c>
      <c r="O102" s="11">
        <v>-11494</v>
      </c>
      <c r="P102" s="8">
        <v>-0.60514929758025748</v>
      </c>
      <c r="Q102" s="8">
        <v>-0.22267206477732793</v>
      </c>
      <c r="R102" s="12">
        <v>-0.59058678450313429</v>
      </c>
    </row>
    <row r="103" spans="1:18" x14ac:dyDescent="0.2">
      <c r="A103" s="5">
        <v>43482</v>
      </c>
      <c r="B103" s="11">
        <v>22148</v>
      </c>
      <c r="C103" s="11">
        <v>1667</v>
      </c>
      <c r="D103" s="11">
        <v>23815</v>
      </c>
      <c r="F103" s="5">
        <v>44213</v>
      </c>
      <c r="G103" s="11">
        <v>4879</v>
      </c>
      <c r="H103" s="11">
        <v>23</v>
      </c>
      <c r="I103" s="11">
        <v>4902</v>
      </c>
      <c r="K103" s="5">
        <v>43485</v>
      </c>
      <c r="L103" s="5">
        <v>44213</v>
      </c>
      <c r="M103" s="11">
        <v>-13896</v>
      </c>
      <c r="N103" s="11">
        <v>-83</v>
      </c>
      <c r="O103" s="11">
        <v>-13979</v>
      </c>
      <c r="P103" s="8">
        <v>-0.74013315579227701</v>
      </c>
      <c r="Q103" s="8">
        <v>-0.78301886792452824</v>
      </c>
      <c r="R103" s="12">
        <v>-0.74037392087283505</v>
      </c>
    </row>
    <row r="104" spans="1:18" x14ac:dyDescent="0.2">
      <c r="A104" s="5">
        <v>43483</v>
      </c>
      <c r="B104" s="11">
        <v>22793</v>
      </c>
      <c r="C104" s="11">
        <v>1511</v>
      </c>
      <c r="D104" s="11">
        <v>24304</v>
      </c>
      <c r="F104" s="5">
        <v>44214</v>
      </c>
      <c r="G104" s="11">
        <v>13621</v>
      </c>
      <c r="H104" s="11">
        <v>1624</v>
      </c>
      <c r="I104" s="11">
        <v>15245</v>
      </c>
      <c r="K104" s="5">
        <v>43486</v>
      </c>
      <c r="L104" s="5">
        <v>44214</v>
      </c>
      <c r="M104" s="11">
        <v>-8987</v>
      </c>
      <c r="N104" s="11">
        <v>-108</v>
      </c>
      <c r="O104" s="11">
        <v>-9095</v>
      </c>
      <c r="P104" s="8">
        <v>-0.39751415428167025</v>
      </c>
      <c r="Q104" s="8">
        <v>-6.2355658198614328E-2</v>
      </c>
      <c r="R104" s="12">
        <v>-0.37366474938373051</v>
      </c>
    </row>
    <row r="105" spans="1:18" x14ac:dyDescent="0.2">
      <c r="A105" s="5">
        <v>43484</v>
      </c>
      <c r="B105" s="11">
        <v>18721</v>
      </c>
      <c r="C105" s="11">
        <v>741</v>
      </c>
      <c r="D105" s="11">
        <v>19462</v>
      </c>
      <c r="F105" s="5">
        <v>44215</v>
      </c>
      <c r="G105" s="11">
        <v>13188</v>
      </c>
      <c r="H105" s="11">
        <v>1724</v>
      </c>
      <c r="I105" s="11">
        <v>14912</v>
      </c>
      <c r="K105" s="5">
        <v>43487</v>
      </c>
      <c r="L105" s="5">
        <v>44215</v>
      </c>
      <c r="M105" s="11">
        <v>-8776</v>
      </c>
      <c r="N105" s="11">
        <v>-193</v>
      </c>
      <c r="O105" s="11">
        <v>-8969</v>
      </c>
      <c r="P105" s="8">
        <v>-0.39956292114368963</v>
      </c>
      <c r="Q105" s="8">
        <v>-0.10067814293166411</v>
      </c>
      <c r="R105" s="12">
        <v>-0.37557053724718392</v>
      </c>
    </row>
    <row r="106" spans="1:18" x14ac:dyDescent="0.2">
      <c r="A106" s="5">
        <v>43485</v>
      </c>
      <c r="B106" s="11">
        <v>18775</v>
      </c>
      <c r="C106" s="11">
        <v>106</v>
      </c>
      <c r="D106" s="11">
        <v>18881</v>
      </c>
      <c r="F106" s="5">
        <v>44216</v>
      </c>
      <c r="G106" s="11">
        <v>13263</v>
      </c>
      <c r="H106" s="11">
        <v>1646</v>
      </c>
      <c r="I106" s="11">
        <v>14909</v>
      </c>
      <c r="K106" s="5">
        <v>43488</v>
      </c>
      <c r="L106" s="5">
        <v>44216</v>
      </c>
      <c r="M106" s="11">
        <v>-8903</v>
      </c>
      <c r="N106" s="11">
        <v>-248</v>
      </c>
      <c r="O106" s="11">
        <v>-9151</v>
      </c>
      <c r="P106" s="8">
        <v>-0.4016511774790219</v>
      </c>
      <c r="Q106" s="8">
        <v>-0.13093980992608234</v>
      </c>
      <c r="R106" s="12">
        <v>-0.3803408146300914</v>
      </c>
    </row>
    <row r="107" spans="1:18" x14ac:dyDescent="0.2">
      <c r="A107" s="5">
        <v>43486</v>
      </c>
      <c r="B107" s="11">
        <v>22608</v>
      </c>
      <c r="C107" s="11">
        <v>1732</v>
      </c>
      <c r="D107" s="11">
        <v>24340</v>
      </c>
      <c r="F107" s="5">
        <v>44217</v>
      </c>
      <c r="G107" s="11">
        <v>13364</v>
      </c>
      <c r="H107" s="11">
        <v>1531</v>
      </c>
      <c r="I107" s="11">
        <v>14895</v>
      </c>
      <c r="K107" s="5">
        <v>43489</v>
      </c>
      <c r="L107" s="5">
        <v>44217</v>
      </c>
      <c r="M107" s="11">
        <v>-8923</v>
      </c>
      <c r="N107" s="11">
        <v>-139</v>
      </c>
      <c r="O107" s="11">
        <v>-9062</v>
      </c>
      <c r="P107" s="8">
        <v>-0.40036792749136263</v>
      </c>
      <c r="Q107" s="8">
        <v>-8.3233532934131715E-2</v>
      </c>
      <c r="R107" s="12">
        <v>-0.37826105104979757</v>
      </c>
    </row>
    <row r="108" spans="1:18" x14ac:dyDescent="0.2">
      <c r="A108" s="5">
        <v>43487</v>
      </c>
      <c r="B108" s="11">
        <v>21964</v>
      </c>
      <c r="C108" s="11">
        <v>1917</v>
      </c>
      <c r="D108" s="11">
        <v>23881</v>
      </c>
      <c r="F108" s="5">
        <v>44218</v>
      </c>
      <c r="G108" s="11">
        <v>13172</v>
      </c>
      <c r="H108" s="11">
        <v>1349</v>
      </c>
      <c r="I108" s="11">
        <v>14521</v>
      </c>
      <c r="K108" s="5">
        <v>43490</v>
      </c>
      <c r="L108" s="5">
        <v>44218</v>
      </c>
      <c r="M108" s="11">
        <v>-10269</v>
      </c>
      <c r="N108" s="11">
        <v>-158</v>
      </c>
      <c r="O108" s="11">
        <v>-10427</v>
      </c>
      <c r="P108" s="8">
        <v>-0.43807858026534707</v>
      </c>
      <c r="Q108" s="8">
        <v>-0.10484406104844057</v>
      </c>
      <c r="R108" s="12">
        <v>-0.41794933461600126</v>
      </c>
    </row>
    <row r="109" spans="1:18" x14ac:dyDescent="0.2">
      <c r="A109" s="5">
        <v>43488</v>
      </c>
      <c r="B109" s="11">
        <v>22166</v>
      </c>
      <c r="C109" s="11">
        <v>1894</v>
      </c>
      <c r="D109" s="11">
        <v>24060</v>
      </c>
      <c r="F109" s="5">
        <v>44219</v>
      </c>
      <c r="G109" s="11">
        <v>5908</v>
      </c>
      <c r="H109" s="11">
        <v>586</v>
      </c>
      <c r="I109" s="11">
        <v>6494</v>
      </c>
      <c r="K109" s="5">
        <v>43491</v>
      </c>
      <c r="L109" s="5">
        <v>44219</v>
      </c>
      <c r="M109" s="11">
        <v>-13502</v>
      </c>
      <c r="N109" s="11">
        <v>-200</v>
      </c>
      <c r="O109" s="11">
        <v>-13702</v>
      </c>
      <c r="P109" s="8">
        <v>-0.69562081401339515</v>
      </c>
      <c r="Q109" s="8">
        <v>-0.25445292620865145</v>
      </c>
      <c r="R109" s="12">
        <v>-0.67845117845117842</v>
      </c>
    </row>
    <row r="110" spans="1:18" x14ac:dyDescent="0.2">
      <c r="A110" s="5">
        <v>43489</v>
      </c>
      <c r="B110" s="11">
        <v>22287</v>
      </c>
      <c r="C110" s="11">
        <v>1670</v>
      </c>
      <c r="D110" s="11">
        <v>23957</v>
      </c>
      <c r="F110" s="5">
        <v>44220</v>
      </c>
      <c r="G110" s="11">
        <v>5146</v>
      </c>
      <c r="H110" s="11">
        <v>33</v>
      </c>
      <c r="I110" s="11">
        <v>5179</v>
      </c>
      <c r="K110" s="5">
        <v>43492</v>
      </c>
      <c r="L110" s="5">
        <v>44220</v>
      </c>
      <c r="M110" s="11">
        <v>-12945</v>
      </c>
      <c r="N110" s="11">
        <v>-85</v>
      </c>
      <c r="O110" s="11">
        <v>-13030</v>
      </c>
      <c r="P110" s="8">
        <v>-0.71554916809463265</v>
      </c>
      <c r="Q110" s="8">
        <v>-0.72033898305084754</v>
      </c>
      <c r="R110" s="12">
        <v>-0.71558020758965346</v>
      </c>
    </row>
    <row r="111" spans="1:18" x14ac:dyDescent="0.2">
      <c r="A111" s="5">
        <v>43490</v>
      </c>
      <c r="B111" s="11">
        <v>23441</v>
      </c>
      <c r="C111" s="11">
        <v>1507</v>
      </c>
      <c r="D111" s="11">
        <v>24948</v>
      </c>
      <c r="F111" s="5">
        <v>44221</v>
      </c>
      <c r="G111" s="11">
        <v>14196</v>
      </c>
      <c r="H111" s="11">
        <v>1637</v>
      </c>
      <c r="I111" s="11">
        <v>15833</v>
      </c>
      <c r="K111" s="5">
        <v>43493</v>
      </c>
      <c r="L111" s="5">
        <v>44221</v>
      </c>
      <c r="M111" s="11">
        <f t="shared" ref="M111:M113" si="16">G111-B114</f>
        <v>-8364</v>
      </c>
      <c r="N111" s="11">
        <f t="shared" ref="N111:N113" si="17">H111-C114</f>
        <v>-111</v>
      </c>
      <c r="O111" s="11">
        <f t="shared" ref="O111:O113" si="18">I111-D114</f>
        <v>-8475</v>
      </c>
      <c r="P111" s="8">
        <f t="shared" ref="P111:P113" si="19">G111/B114-1</f>
        <v>-0.37074468085106382</v>
      </c>
      <c r="Q111" s="8">
        <f t="shared" ref="Q111:Q113" si="20">H111/C114-1</f>
        <v>-6.3501144164759715E-2</v>
      </c>
      <c r="R111" s="12">
        <f t="shared" ref="R111:R113" si="21">I111/D114-1</f>
        <v>-0.34865064999177231</v>
      </c>
    </row>
    <row r="112" spans="1:18" x14ac:dyDescent="0.2">
      <c r="A112" s="5">
        <v>43491</v>
      </c>
      <c r="B112" s="11">
        <v>19410</v>
      </c>
      <c r="C112" s="11">
        <v>786</v>
      </c>
      <c r="D112" s="11">
        <v>20196</v>
      </c>
      <c r="F112" s="5">
        <v>44222</v>
      </c>
      <c r="G112" s="11">
        <v>13813</v>
      </c>
      <c r="H112" s="11">
        <v>1693</v>
      </c>
      <c r="I112" s="11">
        <v>15506</v>
      </c>
      <c r="K112" s="5">
        <v>43494</v>
      </c>
      <c r="L112" s="5">
        <v>44222</v>
      </c>
      <c r="M112" s="11">
        <f t="shared" si="16"/>
        <v>-8536</v>
      </c>
      <c r="N112" s="11">
        <f t="shared" si="17"/>
        <v>-152</v>
      </c>
      <c r="O112" s="11">
        <f t="shared" si="18"/>
        <v>-8688</v>
      </c>
      <c r="P112" s="8">
        <f t="shared" si="19"/>
        <v>-0.38194102644413619</v>
      </c>
      <c r="Q112" s="8">
        <f t="shared" si="20"/>
        <v>-8.2384823848238531E-2</v>
      </c>
      <c r="R112" s="12">
        <f t="shared" si="21"/>
        <v>-0.35909729685045877</v>
      </c>
    </row>
    <row r="113" spans="1:18" x14ac:dyDescent="0.2">
      <c r="A113" s="5">
        <v>43492</v>
      </c>
      <c r="B113" s="11">
        <v>18091</v>
      </c>
      <c r="C113" s="11">
        <v>118</v>
      </c>
      <c r="D113" s="11">
        <v>18209</v>
      </c>
      <c r="F113" s="5">
        <v>44223</v>
      </c>
      <c r="G113" s="11">
        <v>13954</v>
      </c>
      <c r="H113" s="11">
        <v>1588</v>
      </c>
      <c r="I113" s="11">
        <v>15542</v>
      </c>
      <c r="K113" s="5">
        <v>43495</v>
      </c>
      <c r="L113" s="5">
        <v>44223</v>
      </c>
      <c r="M113" s="11">
        <f t="shared" si="16"/>
        <v>-7545</v>
      </c>
      <c r="N113" s="11">
        <f t="shared" si="17"/>
        <v>-235</v>
      </c>
      <c r="O113" s="11">
        <f t="shared" si="18"/>
        <v>-7780</v>
      </c>
      <c r="P113" s="8">
        <f t="shared" si="19"/>
        <v>-0.35094655565375132</v>
      </c>
      <c r="Q113" s="8">
        <f t="shared" si="20"/>
        <v>-0.1289083927591882</v>
      </c>
      <c r="R113" s="12">
        <f t="shared" si="21"/>
        <v>-0.33359060114912953</v>
      </c>
    </row>
    <row r="114" spans="1:18" x14ac:dyDescent="0.2">
      <c r="A114" s="5">
        <v>43493</v>
      </c>
      <c r="B114" s="11">
        <v>22560</v>
      </c>
      <c r="C114" s="11">
        <v>1748</v>
      </c>
      <c r="D114" s="11">
        <v>24308</v>
      </c>
      <c r="F114" s="5">
        <v>44224</v>
      </c>
      <c r="G114" s="11">
        <v>14120</v>
      </c>
      <c r="H114" s="11">
        <v>1043</v>
      </c>
      <c r="I114" s="11">
        <v>15163</v>
      </c>
      <c r="K114" s="5">
        <v>43496</v>
      </c>
      <c r="L114" s="5">
        <v>44224</v>
      </c>
      <c r="M114" s="11">
        <f t="shared" ref="M114:M117" si="22">G114-B117</f>
        <v>-8555</v>
      </c>
      <c r="N114" s="11">
        <f t="shared" ref="N114:N117" si="23">H114-C117</f>
        <v>-712</v>
      </c>
      <c r="O114" s="11">
        <f t="shared" ref="O114:O117" si="24">I114-D117</f>
        <v>-9267</v>
      </c>
      <c r="P114" s="8">
        <f t="shared" ref="P114:P117" si="25">G114/B117-1</f>
        <v>-0.37728776185226021</v>
      </c>
      <c r="Q114" s="8">
        <f t="shared" ref="Q114:Q117" si="26">H114/C117-1</f>
        <v>-0.40569800569800574</v>
      </c>
      <c r="R114" s="12">
        <f t="shared" ref="R114:R117" si="27">I114/D117-1</f>
        <v>-0.37932869422840765</v>
      </c>
    </row>
    <row r="115" spans="1:18" x14ac:dyDescent="0.2">
      <c r="A115" s="5">
        <v>43494</v>
      </c>
      <c r="B115" s="11">
        <v>22349</v>
      </c>
      <c r="C115" s="11">
        <v>1845</v>
      </c>
      <c r="D115" s="11">
        <v>24194</v>
      </c>
      <c r="F115" s="5">
        <v>44225</v>
      </c>
      <c r="G115" s="11">
        <v>16374</v>
      </c>
      <c r="H115" s="11">
        <v>1436</v>
      </c>
      <c r="I115" s="11">
        <v>17810</v>
      </c>
      <c r="K115" s="5">
        <v>43497</v>
      </c>
      <c r="L115" s="5">
        <v>44225</v>
      </c>
      <c r="M115" s="11">
        <f t="shared" si="22"/>
        <v>1127</v>
      </c>
      <c r="N115" s="11">
        <f t="shared" si="23"/>
        <v>230</v>
      </c>
      <c r="O115" s="11">
        <f t="shared" si="24"/>
        <v>1357</v>
      </c>
      <c r="P115" s="8">
        <f t="shared" si="25"/>
        <v>7.3916180232176831E-2</v>
      </c>
      <c r="Q115" s="8">
        <f t="shared" si="26"/>
        <v>0.19071310116086226</v>
      </c>
      <c r="R115" s="12">
        <f t="shared" si="27"/>
        <v>8.2477359752020973E-2</v>
      </c>
    </row>
    <row r="116" spans="1:18" x14ac:dyDescent="0.2">
      <c r="A116" s="5">
        <v>43495</v>
      </c>
      <c r="B116" s="11">
        <v>21499</v>
      </c>
      <c r="C116" s="11">
        <v>1823</v>
      </c>
      <c r="D116" s="11">
        <v>23322</v>
      </c>
      <c r="F116" s="5">
        <v>44226</v>
      </c>
      <c r="G116" s="11">
        <v>6795</v>
      </c>
      <c r="H116" s="11">
        <v>402</v>
      </c>
      <c r="I116" s="11">
        <v>7197</v>
      </c>
      <c r="K116" s="5">
        <v>43498</v>
      </c>
      <c r="L116" s="5">
        <v>44226</v>
      </c>
      <c r="M116" s="11">
        <f t="shared" si="22"/>
        <v>-8814</v>
      </c>
      <c r="N116" s="11">
        <f t="shared" si="23"/>
        <v>-299</v>
      </c>
      <c r="O116" s="11">
        <f t="shared" si="24"/>
        <v>-9113</v>
      </c>
      <c r="P116" s="8">
        <f t="shared" si="25"/>
        <v>-0.56467422640784171</v>
      </c>
      <c r="Q116" s="8">
        <f t="shared" si="26"/>
        <v>-0.42653352353780316</v>
      </c>
      <c r="R116" s="12">
        <f t="shared" si="27"/>
        <v>-0.55873697118332311</v>
      </c>
    </row>
    <row r="117" spans="1:18" x14ac:dyDescent="0.2">
      <c r="A117" s="5">
        <v>43496</v>
      </c>
      <c r="B117" s="11">
        <v>22675</v>
      </c>
      <c r="C117" s="11">
        <v>1755</v>
      </c>
      <c r="D117" s="11">
        <v>24430</v>
      </c>
      <c r="F117" s="5">
        <v>44227</v>
      </c>
      <c r="G117" s="11">
        <v>6039</v>
      </c>
      <c r="H117" s="11">
        <v>30</v>
      </c>
      <c r="I117" s="11">
        <v>6069</v>
      </c>
      <c r="K117" s="5">
        <v>43499</v>
      </c>
      <c r="L117" s="5">
        <v>44227</v>
      </c>
      <c r="M117" s="11">
        <f t="shared" si="22"/>
        <v>-11216</v>
      </c>
      <c r="N117" s="11">
        <f t="shared" si="23"/>
        <v>-59</v>
      </c>
      <c r="O117" s="11">
        <f t="shared" si="24"/>
        <v>-11275</v>
      </c>
      <c r="P117" s="8">
        <f t="shared" si="25"/>
        <v>-0.65001448855404231</v>
      </c>
      <c r="Q117" s="8">
        <f t="shared" si="26"/>
        <v>-0.66292134831460681</v>
      </c>
      <c r="R117" s="12">
        <f t="shared" si="27"/>
        <v>-0.6500807195571956</v>
      </c>
    </row>
    <row r="118" spans="1:18" x14ac:dyDescent="0.2">
      <c r="A118" s="5">
        <v>43497</v>
      </c>
      <c r="B118" s="11">
        <v>15247</v>
      </c>
      <c r="C118" s="11">
        <v>1206</v>
      </c>
      <c r="D118" s="11">
        <v>16453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2">
      <c r="A119" s="5">
        <v>43498</v>
      </c>
      <c r="B119" s="11">
        <v>15609</v>
      </c>
      <c r="C119" s="11">
        <v>701</v>
      </c>
      <c r="D119" s="11">
        <v>16310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2">
      <c r="A120" s="5">
        <v>43499</v>
      </c>
      <c r="B120" s="11">
        <v>17255</v>
      </c>
      <c r="C120" s="11">
        <v>89</v>
      </c>
      <c r="D120" s="11">
        <v>17344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R120"/>
  <sheetViews>
    <sheetView zoomScale="70" zoomScaleNormal="70" workbookViewId="0"/>
  </sheetViews>
  <sheetFormatPr baseColWidth="10" defaultRowHeight="12.75" x14ac:dyDescent="0.2"/>
  <cols>
    <col min="1" max="1" width="29.42578125" customWidth="1"/>
    <col min="2" max="2" width="12.85546875" bestFit="1" customWidth="1"/>
    <col min="3" max="3" width="7.42578125" bestFit="1" customWidth="1"/>
    <col min="4" max="4" width="15.85546875" bestFit="1" customWidth="1"/>
    <col min="5" max="5" width="1.140625" customWidth="1"/>
    <col min="6" max="6" width="30" customWidth="1"/>
    <col min="7" max="7" width="12.85546875" bestFit="1" customWidth="1"/>
    <col min="8" max="8" width="7.42578125" bestFit="1" customWidth="1"/>
    <col min="9" max="9" width="15.85546875" bestFit="1" customWidth="1"/>
    <col min="10" max="10" width="0.85546875" customWidth="1"/>
    <col min="11" max="11" width="29.42578125" customWidth="1"/>
    <col min="12" max="12" width="29.5703125" customWidth="1"/>
    <col min="13" max="13" width="12.85546875" bestFit="1" customWidth="1"/>
    <col min="14" max="14" width="7.42578125" bestFit="1" customWidth="1"/>
    <col min="15" max="15" width="15.85546875" bestFit="1" customWidth="1"/>
    <col min="16" max="16" width="12.85546875" bestFit="1" customWidth="1"/>
    <col min="17" max="17" width="7.140625" bestFit="1" customWidth="1"/>
    <col min="18" max="18" width="15.85546875" style="9" bestFit="1" customWidth="1"/>
  </cols>
  <sheetData>
    <row r="1" spans="1:18" ht="15.75" x14ac:dyDescent="0.25">
      <c r="A1" s="10" t="s">
        <v>52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1" t="s">
        <v>47</v>
      </c>
      <c r="B6" s="22"/>
      <c r="C6" s="22"/>
      <c r="D6" s="22"/>
      <c r="E6" s="17"/>
      <c r="F6" s="17"/>
      <c r="G6" s="17"/>
    </row>
    <row r="7" spans="1:18" ht="15" x14ac:dyDescent="0.2">
      <c r="A7" s="21" t="s">
        <v>48</v>
      </c>
      <c r="B7" s="22"/>
      <c r="C7" s="22"/>
    </row>
    <row r="9" spans="1:18" ht="12.95" customHeight="1" x14ac:dyDescent="0.2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5" customHeight="1" x14ac:dyDescent="0.2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">
      <c r="A11" s="5">
        <v>43466</v>
      </c>
      <c r="B11" s="11">
        <v>2397</v>
      </c>
      <c r="C11" s="11">
        <v>6</v>
      </c>
      <c r="D11" s="11">
        <v>2403</v>
      </c>
      <c r="F11" s="5">
        <v>44197</v>
      </c>
      <c r="G11" s="11">
        <v>728</v>
      </c>
      <c r="H11" s="11">
        <v>11</v>
      </c>
      <c r="I11" s="11">
        <v>739</v>
      </c>
      <c r="K11" s="5">
        <v>43469</v>
      </c>
      <c r="L11" s="5">
        <v>44197</v>
      </c>
      <c r="M11" s="11">
        <v>-1910</v>
      </c>
      <c r="N11" s="11">
        <v>-75</v>
      </c>
      <c r="O11" s="11">
        <v>-1985</v>
      </c>
      <c r="P11" s="8">
        <v>-0.72403335860500384</v>
      </c>
      <c r="Q11" s="8">
        <v>-0.87209302325581395</v>
      </c>
      <c r="R11" s="12">
        <v>-0.72870778267254033</v>
      </c>
    </row>
    <row r="12" spans="1:18" x14ac:dyDescent="0.2">
      <c r="A12" s="5">
        <v>43467</v>
      </c>
      <c r="B12" s="11">
        <v>3108</v>
      </c>
      <c r="C12" s="11">
        <v>55</v>
      </c>
      <c r="D12" s="11">
        <v>3163</v>
      </c>
      <c r="F12" s="5">
        <v>44198</v>
      </c>
      <c r="G12" s="11">
        <v>927</v>
      </c>
      <c r="H12" s="11">
        <v>53</v>
      </c>
      <c r="I12" s="11">
        <v>980</v>
      </c>
      <c r="K12" s="5">
        <v>43470</v>
      </c>
      <c r="L12" s="5">
        <v>44198</v>
      </c>
      <c r="M12" s="11">
        <v>-2369</v>
      </c>
      <c r="N12" s="11">
        <v>3</v>
      </c>
      <c r="O12" s="11">
        <v>-2366</v>
      </c>
      <c r="P12" s="8">
        <v>-0.71875</v>
      </c>
      <c r="Q12" s="8">
        <v>6.0000000000000053E-2</v>
      </c>
      <c r="R12" s="12">
        <v>-0.70711297071129708</v>
      </c>
    </row>
    <row r="13" spans="1:18" x14ac:dyDescent="0.2">
      <c r="A13" s="5">
        <v>43468</v>
      </c>
      <c r="B13" s="11">
        <v>2442</v>
      </c>
      <c r="C13" s="11">
        <v>93</v>
      </c>
      <c r="D13" s="11">
        <v>2535</v>
      </c>
      <c r="F13" s="5">
        <v>44199</v>
      </c>
      <c r="G13" s="11">
        <v>998</v>
      </c>
      <c r="H13" s="11">
        <v>58</v>
      </c>
      <c r="I13" s="11">
        <v>1056</v>
      </c>
      <c r="K13" s="5">
        <v>43471</v>
      </c>
      <c r="L13" s="5">
        <v>44199</v>
      </c>
      <c r="M13" s="11">
        <v>-1890</v>
      </c>
      <c r="N13" s="11">
        <v>19</v>
      </c>
      <c r="O13" s="11">
        <v>-1871</v>
      </c>
      <c r="P13" s="8">
        <v>-0.65443213296398894</v>
      </c>
      <c r="Q13" s="8">
        <v>0.48717948717948723</v>
      </c>
      <c r="R13" s="12">
        <v>-0.63922104543901603</v>
      </c>
    </row>
    <row r="14" spans="1:18" x14ac:dyDescent="0.2">
      <c r="A14" s="5">
        <v>43469</v>
      </c>
      <c r="B14" s="11">
        <v>2638</v>
      </c>
      <c r="C14" s="11">
        <v>86</v>
      </c>
      <c r="D14" s="11">
        <v>2724</v>
      </c>
      <c r="F14" s="5">
        <v>44200</v>
      </c>
      <c r="G14" s="11">
        <v>859</v>
      </c>
      <c r="H14" s="11">
        <v>72</v>
      </c>
      <c r="I14" s="11">
        <v>931</v>
      </c>
      <c r="K14" s="5">
        <v>43472</v>
      </c>
      <c r="L14" s="5">
        <v>44200</v>
      </c>
      <c r="M14" s="11">
        <v>-627</v>
      </c>
      <c r="N14" s="11">
        <v>-94</v>
      </c>
      <c r="O14" s="11">
        <v>-721</v>
      </c>
      <c r="P14" s="8">
        <v>-0.42193808882907136</v>
      </c>
      <c r="Q14" s="8">
        <v>-0.56626506024096379</v>
      </c>
      <c r="R14" s="12">
        <v>-0.43644067796610164</v>
      </c>
    </row>
    <row r="15" spans="1:18" x14ac:dyDescent="0.2">
      <c r="A15" s="5">
        <v>43470</v>
      </c>
      <c r="B15" s="11">
        <v>3296</v>
      </c>
      <c r="C15" s="11">
        <v>50</v>
      </c>
      <c r="D15" s="11">
        <v>3346</v>
      </c>
      <c r="F15" s="5">
        <v>44201</v>
      </c>
      <c r="G15" s="11">
        <v>866</v>
      </c>
      <c r="H15" s="11">
        <v>115</v>
      </c>
      <c r="I15" s="11">
        <v>981</v>
      </c>
      <c r="K15" s="5">
        <v>43473</v>
      </c>
      <c r="L15" s="5">
        <v>44201</v>
      </c>
      <c r="M15" s="11">
        <v>-212</v>
      </c>
      <c r="N15" s="11">
        <v>-42</v>
      </c>
      <c r="O15" s="11">
        <v>-254</v>
      </c>
      <c r="P15" s="8">
        <v>-0.19666048237476808</v>
      </c>
      <c r="Q15" s="8">
        <v>-0.26751592356687903</v>
      </c>
      <c r="R15" s="12">
        <v>-0.20566801619433195</v>
      </c>
    </row>
    <row r="16" spans="1:18" x14ac:dyDescent="0.2">
      <c r="A16" s="5">
        <v>43471</v>
      </c>
      <c r="B16" s="11">
        <v>2888</v>
      </c>
      <c r="C16" s="11">
        <v>39</v>
      </c>
      <c r="D16" s="11">
        <v>2927</v>
      </c>
      <c r="F16" s="5">
        <v>44202</v>
      </c>
      <c r="G16" s="11">
        <v>781</v>
      </c>
      <c r="H16" s="11">
        <v>133</v>
      </c>
      <c r="I16" s="11">
        <v>914</v>
      </c>
      <c r="K16" s="5">
        <v>43474</v>
      </c>
      <c r="L16" s="5">
        <v>44202</v>
      </c>
      <c r="M16" s="11">
        <v>49</v>
      </c>
      <c r="N16" s="11">
        <v>62</v>
      </c>
      <c r="O16" s="11">
        <v>111</v>
      </c>
      <c r="P16" s="8">
        <v>6.6939890710382421E-2</v>
      </c>
      <c r="Q16" s="8">
        <v>0.87323943661971826</v>
      </c>
      <c r="R16" s="12">
        <v>0.13823163138231642</v>
      </c>
    </row>
    <row r="17" spans="1:18" x14ac:dyDescent="0.2">
      <c r="A17" s="5">
        <v>43472</v>
      </c>
      <c r="B17" s="11">
        <v>1486</v>
      </c>
      <c r="C17" s="11">
        <v>166</v>
      </c>
      <c r="D17" s="11">
        <v>1652</v>
      </c>
      <c r="F17" s="5">
        <v>44203</v>
      </c>
      <c r="G17" s="11">
        <v>1278</v>
      </c>
      <c r="H17" s="11">
        <v>170</v>
      </c>
      <c r="I17" s="11">
        <v>1448</v>
      </c>
      <c r="K17" s="5">
        <v>43475</v>
      </c>
      <c r="L17" s="5">
        <v>44203</v>
      </c>
      <c r="M17" s="11">
        <v>125</v>
      </c>
      <c r="N17" s="11">
        <v>-83</v>
      </c>
      <c r="O17" s="11">
        <v>42</v>
      </c>
      <c r="P17" s="8">
        <v>0.1084128360797918</v>
      </c>
      <c r="Q17" s="8">
        <v>-0.32806324110671936</v>
      </c>
      <c r="R17" s="12">
        <v>2.9871977240398362E-2</v>
      </c>
    </row>
    <row r="18" spans="1:18" x14ac:dyDescent="0.2">
      <c r="A18" s="5">
        <v>43473</v>
      </c>
      <c r="B18" s="11">
        <v>1078</v>
      </c>
      <c r="C18" s="11">
        <v>157</v>
      </c>
      <c r="D18" s="11">
        <v>1235</v>
      </c>
      <c r="F18" s="5">
        <v>44204</v>
      </c>
      <c r="G18" s="11">
        <v>1487</v>
      </c>
      <c r="H18" s="11">
        <v>138</v>
      </c>
      <c r="I18" s="11">
        <v>1625</v>
      </c>
      <c r="K18" s="5">
        <v>43476</v>
      </c>
      <c r="L18" s="5">
        <v>44204</v>
      </c>
      <c r="M18" s="11">
        <v>-176</v>
      </c>
      <c r="N18" s="11">
        <v>-45</v>
      </c>
      <c r="O18" s="11">
        <v>-221</v>
      </c>
      <c r="P18" s="8">
        <v>-0.105832832230908</v>
      </c>
      <c r="Q18" s="8">
        <v>-0.24590163934426235</v>
      </c>
      <c r="R18" s="12">
        <v>-0.11971830985915488</v>
      </c>
    </row>
    <row r="19" spans="1:18" x14ac:dyDescent="0.2">
      <c r="A19" s="5">
        <v>43474</v>
      </c>
      <c r="B19" s="11">
        <v>732</v>
      </c>
      <c r="C19" s="11">
        <v>71</v>
      </c>
      <c r="D19" s="11">
        <v>803</v>
      </c>
      <c r="F19" s="5">
        <v>44205</v>
      </c>
      <c r="G19" s="11">
        <v>1343</v>
      </c>
      <c r="H19" s="11">
        <v>41</v>
      </c>
      <c r="I19" s="11">
        <v>1384</v>
      </c>
      <c r="K19" s="5">
        <v>43477</v>
      </c>
      <c r="L19" s="5">
        <v>44205</v>
      </c>
      <c r="M19" s="11">
        <v>-108</v>
      </c>
      <c r="N19" s="11">
        <v>-18</v>
      </c>
      <c r="O19" s="11">
        <v>-126</v>
      </c>
      <c r="P19" s="8">
        <v>-7.4431426602343254E-2</v>
      </c>
      <c r="Q19" s="8">
        <v>-0.30508474576271183</v>
      </c>
      <c r="R19" s="12">
        <v>-8.3443708609271527E-2</v>
      </c>
    </row>
    <row r="20" spans="1:18" x14ac:dyDescent="0.2">
      <c r="A20" s="5">
        <v>43475</v>
      </c>
      <c r="B20" s="11">
        <v>1153</v>
      </c>
      <c r="C20" s="11">
        <v>253</v>
      </c>
      <c r="D20" s="11">
        <v>1406</v>
      </c>
      <c r="F20" s="5">
        <v>44206</v>
      </c>
      <c r="G20" s="11">
        <v>1783</v>
      </c>
      <c r="H20" s="11">
        <v>3</v>
      </c>
      <c r="I20" s="11">
        <v>1786</v>
      </c>
      <c r="K20" s="5">
        <v>43478</v>
      </c>
      <c r="L20" s="5">
        <v>44206</v>
      </c>
      <c r="M20" s="11">
        <v>761</v>
      </c>
      <c r="N20" s="11">
        <v>-48</v>
      </c>
      <c r="O20" s="11">
        <v>713</v>
      </c>
      <c r="P20" s="8">
        <v>0.74461839530332674</v>
      </c>
      <c r="Q20" s="8">
        <v>-0.94117647058823528</v>
      </c>
      <c r="R20" s="12">
        <v>0.66449207828518175</v>
      </c>
    </row>
    <row r="21" spans="1:18" x14ac:dyDescent="0.2">
      <c r="A21" s="5">
        <v>43476</v>
      </c>
      <c r="B21" s="11">
        <v>1663</v>
      </c>
      <c r="C21" s="11">
        <v>183</v>
      </c>
      <c r="D21" s="11">
        <v>1846</v>
      </c>
      <c r="F21" s="5">
        <v>44207</v>
      </c>
      <c r="G21" s="11">
        <v>1180</v>
      </c>
      <c r="H21" s="11">
        <v>223</v>
      </c>
      <c r="I21" s="11">
        <v>1403</v>
      </c>
      <c r="K21" s="5">
        <v>43479</v>
      </c>
      <c r="L21" s="5">
        <v>44207</v>
      </c>
      <c r="M21" s="11">
        <v>361</v>
      </c>
      <c r="N21" s="11">
        <v>163</v>
      </c>
      <c r="O21" s="11">
        <v>524</v>
      </c>
      <c r="P21" s="8">
        <v>0.44078144078144077</v>
      </c>
      <c r="Q21" s="8">
        <v>2.7166666666666668</v>
      </c>
      <c r="R21" s="12">
        <v>0.59613196814562008</v>
      </c>
    </row>
    <row r="22" spans="1:18" x14ac:dyDescent="0.2">
      <c r="A22" s="5">
        <v>43477</v>
      </c>
      <c r="B22" s="11">
        <v>1451</v>
      </c>
      <c r="C22" s="11">
        <v>59</v>
      </c>
      <c r="D22" s="11">
        <v>1510</v>
      </c>
      <c r="F22" s="5">
        <v>44208</v>
      </c>
      <c r="G22" s="11">
        <v>756</v>
      </c>
      <c r="H22" s="11">
        <v>132</v>
      </c>
      <c r="I22" s="11">
        <v>888</v>
      </c>
      <c r="K22" s="5">
        <v>43480</v>
      </c>
      <c r="L22" s="5">
        <v>44208</v>
      </c>
      <c r="M22" s="11">
        <v>-326</v>
      </c>
      <c r="N22" s="11">
        <v>-172</v>
      </c>
      <c r="O22" s="11">
        <v>-498</v>
      </c>
      <c r="P22" s="8">
        <v>-0.30129390018484292</v>
      </c>
      <c r="Q22" s="8">
        <v>-0.56578947368421051</v>
      </c>
      <c r="R22" s="12">
        <v>-0.35930735930735935</v>
      </c>
    </row>
    <row r="23" spans="1:18" x14ac:dyDescent="0.2">
      <c r="A23" s="5">
        <v>43478</v>
      </c>
      <c r="B23" s="11">
        <v>1022</v>
      </c>
      <c r="C23" s="11">
        <v>51</v>
      </c>
      <c r="D23" s="11">
        <v>1073</v>
      </c>
      <c r="F23" s="5">
        <v>44209</v>
      </c>
      <c r="G23" s="11">
        <v>641</v>
      </c>
      <c r="H23" s="11">
        <v>35</v>
      </c>
      <c r="I23" s="11">
        <v>676</v>
      </c>
      <c r="K23" s="5">
        <v>43481</v>
      </c>
      <c r="L23" s="5">
        <v>44209</v>
      </c>
      <c r="M23" s="11">
        <v>-545</v>
      </c>
      <c r="N23" s="11">
        <v>-261</v>
      </c>
      <c r="O23" s="11">
        <v>-806</v>
      </c>
      <c r="P23" s="8">
        <v>-0.4595278246205734</v>
      </c>
      <c r="Q23" s="8">
        <v>-0.8817567567567568</v>
      </c>
      <c r="R23" s="12">
        <v>-0.54385964912280704</v>
      </c>
    </row>
    <row r="24" spans="1:18" x14ac:dyDescent="0.2">
      <c r="A24" s="5">
        <v>43479</v>
      </c>
      <c r="B24" s="11">
        <v>819</v>
      </c>
      <c r="C24" s="11">
        <v>60</v>
      </c>
      <c r="D24" s="11">
        <v>879</v>
      </c>
      <c r="F24" s="5">
        <v>44210</v>
      </c>
      <c r="G24" s="11">
        <v>620</v>
      </c>
      <c r="H24" s="11">
        <v>65</v>
      </c>
      <c r="I24" s="11">
        <v>685</v>
      </c>
      <c r="K24" s="5">
        <v>43482</v>
      </c>
      <c r="L24" s="5">
        <v>44210</v>
      </c>
      <c r="M24" s="11">
        <v>-457</v>
      </c>
      <c r="N24" s="11">
        <v>-185</v>
      </c>
      <c r="O24" s="11">
        <v>-642</v>
      </c>
      <c r="P24" s="8">
        <v>-0.42432683379758585</v>
      </c>
      <c r="Q24" s="8">
        <v>-0.74</v>
      </c>
      <c r="R24" s="12">
        <v>-0.48379804069329313</v>
      </c>
    </row>
    <row r="25" spans="1:18" x14ac:dyDescent="0.2">
      <c r="A25" s="5">
        <v>43480</v>
      </c>
      <c r="B25" s="11">
        <v>1082</v>
      </c>
      <c r="C25" s="11">
        <v>304</v>
      </c>
      <c r="D25" s="11">
        <v>1386</v>
      </c>
      <c r="F25" s="5">
        <v>44211</v>
      </c>
      <c r="G25" s="11">
        <v>975</v>
      </c>
      <c r="H25" s="11">
        <v>210</v>
      </c>
      <c r="I25" s="11">
        <v>1185</v>
      </c>
      <c r="K25" s="5">
        <v>43483</v>
      </c>
      <c r="L25" s="5">
        <v>44211</v>
      </c>
      <c r="M25" s="11">
        <v>-653</v>
      </c>
      <c r="N25" s="11">
        <v>-28</v>
      </c>
      <c r="O25" s="11">
        <v>-681</v>
      </c>
      <c r="P25" s="8">
        <v>-0.40110565110565111</v>
      </c>
      <c r="Q25" s="8">
        <v>-0.11764705882352944</v>
      </c>
      <c r="R25" s="12">
        <v>-0.364951768488746</v>
      </c>
    </row>
    <row r="26" spans="1:18" x14ac:dyDescent="0.2">
      <c r="A26" s="5">
        <v>43481</v>
      </c>
      <c r="B26" s="11">
        <v>1186</v>
      </c>
      <c r="C26" s="11">
        <v>296</v>
      </c>
      <c r="D26" s="11">
        <v>1482</v>
      </c>
      <c r="F26" s="5">
        <v>44212</v>
      </c>
      <c r="G26" s="11">
        <v>1097</v>
      </c>
      <c r="H26" s="11">
        <v>45</v>
      </c>
      <c r="I26" s="11">
        <v>1142</v>
      </c>
      <c r="K26" s="5">
        <v>43484</v>
      </c>
      <c r="L26" s="5">
        <v>44212</v>
      </c>
      <c r="M26" s="11">
        <v>-639</v>
      </c>
      <c r="N26" s="11">
        <v>5</v>
      </c>
      <c r="O26" s="11">
        <v>-634</v>
      </c>
      <c r="P26" s="8">
        <v>-0.36808755760368661</v>
      </c>
      <c r="Q26" s="8">
        <v>0.125</v>
      </c>
      <c r="R26" s="12">
        <v>-0.35698198198198194</v>
      </c>
    </row>
    <row r="27" spans="1:18" x14ac:dyDescent="0.2">
      <c r="A27" s="5">
        <v>43482</v>
      </c>
      <c r="B27" s="11">
        <v>1077</v>
      </c>
      <c r="C27" s="11">
        <v>250</v>
      </c>
      <c r="D27" s="11">
        <v>1327</v>
      </c>
      <c r="F27" s="5">
        <v>44213</v>
      </c>
      <c r="G27" s="11">
        <v>759</v>
      </c>
      <c r="H27" s="11">
        <v>41</v>
      </c>
      <c r="I27" s="11">
        <v>800</v>
      </c>
      <c r="K27" s="5">
        <v>43485</v>
      </c>
      <c r="L27" s="5">
        <v>44213</v>
      </c>
      <c r="M27" s="11">
        <v>-1535</v>
      </c>
      <c r="N27" s="11">
        <v>35</v>
      </c>
      <c r="O27" s="11">
        <v>-1500</v>
      </c>
      <c r="P27" s="8">
        <v>-0.66913687881429817</v>
      </c>
      <c r="Q27" s="8">
        <v>5.833333333333333</v>
      </c>
      <c r="R27" s="12">
        <v>-0.65217391304347827</v>
      </c>
    </row>
    <row r="28" spans="1:18" x14ac:dyDescent="0.2">
      <c r="A28" s="5">
        <v>43483</v>
      </c>
      <c r="B28" s="11">
        <v>1628</v>
      </c>
      <c r="C28" s="11">
        <v>238</v>
      </c>
      <c r="D28" s="11">
        <v>1866</v>
      </c>
      <c r="F28" s="5">
        <v>44214</v>
      </c>
      <c r="G28" s="11">
        <v>955</v>
      </c>
      <c r="H28" s="11">
        <v>201</v>
      </c>
      <c r="I28" s="11">
        <v>1156</v>
      </c>
      <c r="K28" s="5">
        <v>43486</v>
      </c>
      <c r="L28" s="5">
        <v>44214</v>
      </c>
      <c r="M28" s="11">
        <v>-296</v>
      </c>
      <c r="N28" s="11">
        <v>-53</v>
      </c>
      <c r="O28" s="11">
        <v>-349</v>
      </c>
      <c r="P28" s="8">
        <v>-0.23661071143085532</v>
      </c>
      <c r="Q28" s="8">
        <v>-0.20866141732283461</v>
      </c>
      <c r="R28" s="12">
        <v>-0.23189368770764118</v>
      </c>
    </row>
    <row r="29" spans="1:18" x14ac:dyDescent="0.2">
      <c r="A29" s="5">
        <v>43484</v>
      </c>
      <c r="B29" s="11">
        <v>1736</v>
      </c>
      <c r="C29" s="11">
        <v>40</v>
      </c>
      <c r="D29" s="11">
        <v>1776</v>
      </c>
      <c r="F29" s="5">
        <v>44215</v>
      </c>
      <c r="G29" s="11">
        <v>1097</v>
      </c>
      <c r="H29" s="11">
        <v>336</v>
      </c>
      <c r="I29" s="11">
        <v>1433</v>
      </c>
      <c r="K29" s="5">
        <v>43487</v>
      </c>
      <c r="L29" s="5">
        <v>44215</v>
      </c>
      <c r="M29" s="11">
        <v>-81</v>
      </c>
      <c r="N29" s="11">
        <v>50</v>
      </c>
      <c r="O29" s="11">
        <v>-31</v>
      </c>
      <c r="P29" s="8">
        <v>-6.8760611205432975E-2</v>
      </c>
      <c r="Q29" s="8">
        <v>0.17482517482517479</v>
      </c>
      <c r="R29" s="12">
        <v>-2.1174863387978138E-2</v>
      </c>
    </row>
    <row r="30" spans="1:18" x14ac:dyDescent="0.2">
      <c r="A30" s="5">
        <v>43485</v>
      </c>
      <c r="B30" s="11">
        <v>2294</v>
      </c>
      <c r="C30" s="11">
        <v>6</v>
      </c>
      <c r="D30" s="11">
        <v>2300</v>
      </c>
      <c r="F30" s="5">
        <v>44216</v>
      </c>
      <c r="G30" s="11">
        <v>918</v>
      </c>
      <c r="H30" s="11">
        <v>339</v>
      </c>
      <c r="I30" s="11">
        <v>1257</v>
      </c>
      <c r="K30" s="5">
        <v>43488</v>
      </c>
      <c r="L30" s="5">
        <v>44216</v>
      </c>
      <c r="M30" s="11">
        <v>-138</v>
      </c>
      <c r="N30" s="11">
        <v>23</v>
      </c>
      <c r="O30" s="11">
        <v>-115</v>
      </c>
      <c r="P30" s="8">
        <v>-0.13068181818181823</v>
      </c>
      <c r="Q30" s="8">
        <v>7.2784810126582222E-2</v>
      </c>
      <c r="R30" s="12">
        <v>-8.3819241982507342E-2</v>
      </c>
    </row>
    <row r="31" spans="1:18" x14ac:dyDescent="0.2">
      <c r="A31" s="5">
        <v>43486</v>
      </c>
      <c r="B31" s="11">
        <v>1251</v>
      </c>
      <c r="C31" s="11">
        <v>254</v>
      </c>
      <c r="D31" s="11">
        <v>1505</v>
      </c>
      <c r="F31" s="5">
        <v>44217</v>
      </c>
      <c r="G31" s="11">
        <v>860</v>
      </c>
      <c r="H31" s="11">
        <v>170</v>
      </c>
      <c r="I31" s="11">
        <v>1030</v>
      </c>
      <c r="K31" s="5">
        <v>43489</v>
      </c>
      <c r="L31" s="5">
        <v>44217</v>
      </c>
      <c r="M31" s="11">
        <v>-378</v>
      </c>
      <c r="N31" s="11">
        <v>-156</v>
      </c>
      <c r="O31" s="11">
        <v>-534</v>
      </c>
      <c r="P31" s="8">
        <v>-0.30533117932148623</v>
      </c>
      <c r="Q31" s="8">
        <v>-0.4785276073619632</v>
      </c>
      <c r="R31" s="12">
        <v>-0.34143222506393867</v>
      </c>
    </row>
    <row r="32" spans="1:18" x14ac:dyDescent="0.2">
      <c r="A32" s="5">
        <v>43487</v>
      </c>
      <c r="B32" s="11">
        <v>1178</v>
      </c>
      <c r="C32" s="11">
        <v>286</v>
      </c>
      <c r="D32" s="11">
        <v>1464</v>
      </c>
      <c r="F32" s="5">
        <v>44218</v>
      </c>
      <c r="G32" s="11">
        <v>1079</v>
      </c>
      <c r="H32" s="11">
        <v>127</v>
      </c>
      <c r="I32" s="11">
        <v>1206</v>
      </c>
      <c r="K32" s="5">
        <v>43490</v>
      </c>
      <c r="L32" s="5">
        <v>44218</v>
      </c>
      <c r="M32" s="11">
        <v>-684</v>
      </c>
      <c r="N32" s="11">
        <v>-94</v>
      </c>
      <c r="O32" s="11">
        <v>-778</v>
      </c>
      <c r="P32" s="8">
        <v>-0.38797504254112314</v>
      </c>
      <c r="Q32" s="8">
        <v>-0.42533936651583715</v>
      </c>
      <c r="R32" s="12">
        <v>-0.39213709677419351</v>
      </c>
    </row>
    <row r="33" spans="1:18" x14ac:dyDescent="0.2">
      <c r="A33" s="5">
        <v>43488</v>
      </c>
      <c r="B33" s="11">
        <v>1056</v>
      </c>
      <c r="C33" s="11">
        <v>316</v>
      </c>
      <c r="D33" s="11">
        <v>1372</v>
      </c>
      <c r="F33" s="5">
        <v>44219</v>
      </c>
      <c r="G33" s="11">
        <v>881</v>
      </c>
      <c r="H33" s="11">
        <v>86</v>
      </c>
      <c r="I33" s="11">
        <v>967</v>
      </c>
      <c r="K33" s="5">
        <v>43491</v>
      </c>
      <c r="L33" s="5">
        <v>44219</v>
      </c>
      <c r="M33" s="11">
        <v>-1011</v>
      </c>
      <c r="N33" s="11">
        <v>37</v>
      </c>
      <c r="O33" s="11">
        <v>-974</v>
      </c>
      <c r="P33" s="8">
        <v>-0.53435517970401691</v>
      </c>
      <c r="Q33" s="8">
        <v>0.75510204081632648</v>
      </c>
      <c r="R33" s="12">
        <v>-0.50180319422977848</v>
      </c>
    </row>
    <row r="34" spans="1:18" x14ac:dyDescent="0.2">
      <c r="A34" s="5">
        <v>43489</v>
      </c>
      <c r="B34" s="11">
        <v>1238</v>
      </c>
      <c r="C34" s="11">
        <v>326</v>
      </c>
      <c r="D34" s="11">
        <v>1564</v>
      </c>
      <c r="F34" s="5">
        <v>44220</v>
      </c>
      <c r="G34" s="11">
        <v>1347</v>
      </c>
      <c r="H34" s="11">
        <v>9</v>
      </c>
      <c r="I34" s="11">
        <v>1356</v>
      </c>
      <c r="K34" s="5">
        <v>43492</v>
      </c>
      <c r="L34" s="5">
        <v>44220</v>
      </c>
      <c r="M34" s="11">
        <v>-525</v>
      </c>
      <c r="N34" s="11">
        <v>-19</v>
      </c>
      <c r="O34" s="11">
        <v>-544</v>
      </c>
      <c r="P34" s="8">
        <v>-0.28044871794871795</v>
      </c>
      <c r="Q34" s="8">
        <v>-0.6785714285714286</v>
      </c>
      <c r="R34" s="12">
        <v>-0.28631578947368419</v>
      </c>
    </row>
    <row r="35" spans="1:18" x14ac:dyDescent="0.2">
      <c r="A35" s="5">
        <v>43490</v>
      </c>
      <c r="B35" s="11">
        <v>1763</v>
      </c>
      <c r="C35" s="11">
        <v>221</v>
      </c>
      <c r="D35" s="11">
        <v>1984</v>
      </c>
      <c r="F35" s="5">
        <v>44221</v>
      </c>
      <c r="G35" s="11">
        <v>829</v>
      </c>
      <c r="H35" s="11">
        <v>75</v>
      </c>
      <c r="I35" s="11">
        <v>904</v>
      </c>
      <c r="K35" s="5">
        <v>43493</v>
      </c>
      <c r="L35" s="5">
        <v>44221</v>
      </c>
      <c r="M35" s="11">
        <f>G35-B38</f>
        <v>-165</v>
      </c>
      <c r="N35" s="11">
        <f t="shared" ref="N35:O41" si="0">H35-C38</f>
        <v>-185</v>
      </c>
      <c r="O35" s="11">
        <f t="shared" si="0"/>
        <v>-350</v>
      </c>
      <c r="P35" s="8">
        <f>G35/B38-1</f>
        <v>-0.16599597585513082</v>
      </c>
      <c r="Q35" s="8">
        <f t="shared" ref="Q35:R41" si="1">H35/C38-1</f>
        <v>-0.71153846153846156</v>
      </c>
      <c r="R35" s="12">
        <f t="shared" si="1"/>
        <v>-0.27910685805422653</v>
      </c>
    </row>
    <row r="36" spans="1:18" x14ac:dyDescent="0.2">
      <c r="A36" s="5">
        <v>43491</v>
      </c>
      <c r="B36" s="11">
        <v>1892</v>
      </c>
      <c r="C36" s="11">
        <v>49</v>
      </c>
      <c r="D36" s="11">
        <v>1941</v>
      </c>
      <c r="F36" s="5">
        <v>44222</v>
      </c>
      <c r="G36" s="11">
        <v>970</v>
      </c>
      <c r="H36" s="11">
        <v>326</v>
      </c>
      <c r="I36" s="11">
        <v>1296</v>
      </c>
      <c r="K36" s="5">
        <v>43494</v>
      </c>
      <c r="L36" s="5">
        <v>44222</v>
      </c>
      <c r="M36" s="11">
        <f t="shared" ref="M36:M41" si="2">G36-B39</f>
        <v>-42</v>
      </c>
      <c r="N36" s="11">
        <f t="shared" si="0"/>
        <v>6</v>
      </c>
      <c r="O36" s="11">
        <f t="shared" si="0"/>
        <v>-36</v>
      </c>
      <c r="P36" s="8">
        <f t="shared" ref="P36:P41" si="3">G36/B39-1</f>
        <v>-4.1501976284584963E-2</v>
      </c>
      <c r="Q36" s="8">
        <f t="shared" si="1"/>
        <v>1.8750000000000044E-2</v>
      </c>
      <c r="R36" s="12">
        <f t="shared" si="1"/>
        <v>-2.7027027027026973E-2</v>
      </c>
    </row>
    <row r="37" spans="1:18" x14ac:dyDescent="0.2">
      <c r="A37" s="5">
        <v>43492</v>
      </c>
      <c r="B37" s="11">
        <v>1872</v>
      </c>
      <c r="C37" s="11">
        <v>28</v>
      </c>
      <c r="D37" s="11">
        <v>1900</v>
      </c>
      <c r="F37" s="5">
        <v>44223</v>
      </c>
      <c r="G37" s="11">
        <v>671</v>
      </c>
      <c r="H37" s="11">
        <v>80</v>
      </c>
      <c r="I37" s="11">
        <v>751</v>
      </c>
      <c r="K37" s="5">
        <v>43495</v>
      </c>
      <c r="L37" s="5">
        <v>44223</v>
      </c>
      <c r="M37" s="11">
        <f t="shared" si="2"/>
        <v>-206</v>
      </c>
      <c r="N37" s="11">
        <f t="shared" si="0"/>
        <v>-194</v>
      </c>
      <c r="O37" s="11">
        <f t="shared" si="0"/>
        <v>-400</v>
      </c>
      <c r="P37" s="8">
        <f t="shared" si="3"/>
        <v>-0.23489167616875717</v>
      </c>
      <c r="Q37" s="8">
        <f t="shared" si="1"/>
        <v>-0.70802919708029199</v>
      </c>
      <c r="R37" s="12">
        <f t="shared" si="1"/>
        <v>-0.34752389226759339</v>
      </c>
    </row>
    <row r="38" spans="1:18" x14ac:dyDescent="0.2">
      <c r="A38" s="5">
        <v>43493</v>
      </c>
      <c r="B38" s="11">
        <v>994</v>
      </c>
      <c r="C38" s="11">
        <v>260</v>
      </c>
      <c r="D38" s="11">
        <v>1254</v>
      </c>
      <c r="F38" s="5">
        <v>44224</v>
      </c>
      <c r="G38" s="11">
        <v>656</v>
      </c>
      <c r="H38" s="11">
        <v>78</v>
      </c>
      <c r="I38" s="11">
        <v>734</v>
      </c>
      <c r="K38" s="5">
        <v>43496</v>
      </c>
      <c r="L38" s="5">
        <v>44224</v>
      </c>
      <c r="M38" s="11">
        <f t="shared" si="2"/>
        <v>-490</v>
      </c>
      <c r="N38" s="11">
        <f t="shared" si="0"/>
        <v>-222</v>
      </c>
      <c r="O38" s="11">
        <f t="shared" si="0"/>
        <v>-712</v>
      </c>
      <c r="P38" s="8">
        <f t="shared" si="3"/>
        <v>-0.42757417102966844</v>
      </c>
      <c r="Q38" s="8">
        <f t="shared" si="1"/>
        <v>-0.74</v>
      </c>
      <c r="R38" s="12">
        <f t="shared" si="1"/>
        <v>-0.49239280774550487</v>
      </c>
    </row>
    <row r="39" spans="1:18" x14ac:dyDescent="0.2">
      <c r="A39" s="5">
        <v>43494</v>
      </c>
      <c r="B39" s="11">
        <v>1012</v>
      </c>
      <c r="C39" s="11">
        <v>320</v>
      </c>
      <c r="D39" s="11">
        <v>1332</v>
      </c>
      <c r="F39" s="5">
        <v>44225</v>
      </c>
      <c r="G39" s="11">
        <v>753</v>
      </c>
      <c r="H39" s="11">
        <v>67</v>
      </c>
      <c r="I39" s="11">
        <v>820</v>
      </c>
      <c r="K39" s="5">
        <v>43497</v>
      </c>
      <c r="L39" s="5">
        <v>44225</v>
      </c>
      <c r="M39" s="11">
        <f t="shared" si="2"/>
        <v>-255</v>
      </c>
      <c r="N39" s="11">
        <f t="shared" si="0"/>
        <v>-15</v>
      </c>
      <c r="O39" s="11">
        <f t="shared" si="0"/>
        <v>-270</v>
      </c>
      <c r="P39" s="8">
        <f t="shared" si="3"/>
        <v>-0.25297619047619047</v>
      </c>
      <c r="Q39" s="8">
        <f t="shared" si="1"/>
        <v>-0.18292682926829273</v>
      </c>
      <c r="R39" s="12">
        <f t="shared" si="1"/>
        <v>-0.24770642201834858</v>
      </c>
    </row>
    <row r="40" spans="1:18" x14ac:dyDescent="0.2">
      <c r="A40" s="5">
        <v>43495</v>
      </c>
      <c r="B40" s="11">
        <v>877</v>
      </c>
      <c r="C40" s="11">
        <v>274</v>
      </c>
      <c r="D40" s="11">
        <v>1151</v>
      </c>
      <c r="F40" s="5">
        <v>44226</v>
      </c>
      <c r="G40" s="11">
        <v>705</v>
      </c>
      <c r="H40" s="11">
        <v>142</v>
      </c>
      <c r="I40" s="11">
        <v>847</v>
      </c>
      <c r="K40" s="5">
        <v>43498</v>
      </c>
      <c r="L40" s="5">
        <v>44226</v>
      </c>
      <c r="M40" s="11">
        <f t="shared" si="2"/>
        <v>-730</v>
      </c>
      <c r="N40" s="11">
        <f t="shared" si="0"/>
        <v>60</v>
      </c>
      <c r="O40" s="11">
        <f t="shared" si="0"/>
        <v>-670</v>
      </c>
      <c r="P40" s="8">
        <f t="shared" si="3"/>
        <v>-0.50871080139372826</v>
      </c>
      <c r="Q40" s="8">
        <f t="shared" si="1"/>
        <v>0.73170731707317072</v>
      </c>
      <c r="R40" s="12">
        <f t="shared" si="1"/>
        <v>-0.44166117336849042</v>
      </c>
    </row>
    <row r="41" spans="1:18" x14ac:dyDescent="0.2">
      <c r="A41" s="5">
        <v>43496</v>
      </c>
      <c r="B41" s="11">
        <v>1146</v>
      </c>
      <c r="C41" s="11">
        <v>300</v>
      </c>
      <c r="D41" s="11">
        <v>1446</v>
      </c>
      <c r="F41" s="5">
        <v>44227</v>
      </c>
      <c r="G41" s="11">
        <v>1168</v>
      </c>
      <c r="H41" s="11">
        <v>18</v>
      </c>
      <c r="I41" s="11">
        <v>1186</v>
      </c>
      <c r="K41" s="5">
        <v>43499</v>
      </c>
      <c r="L41" s="5">
        <v>44227</v>
      </c>
      <c r="M41" s="11">
        <f t="shared" si="2"/>
        <v>-410</v>
      </c>
      <c r="N41" s="11">
        <f t="shared" si="0"/>
        <v>-17</v>
      </c>
      <c r="O41" s="11">
        <f t="shared" si="0"/>
        <v>-427</v>
      </c>
      <c r="P41" s="8">
        <f t="shared" si="3"/>
        <v>-0.25982256020278838</v>
      </c>
      <c r="Q41" s="8">
        <f t="shared" si="1"/>
        <v>-0.48571428571428577</v>
      </c>
      <c r="R41" s="12">
        <f t="shared" si="1"/>
        <v>-0.26472411655300687</v>
      </c>
    </row>
    <row r="42" spans="1:18" x14ac:dyDescent="0.2">
      <c r="A42" s="5">
        <v>43497</v>
      </c>
      <c r="B42" s="11">
        <v>1008</v>
      </c>
      <c r="C42" s="11">
        <v>82</v>
      </c>
      <c r="D42" s="11">
        <v>1090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">
      <c r="A43" s="5">
        <v>43498</v>
      </c>
      <c r="B43" s="11">
        <v>1435</v>
      </c>
      <c r="C43" s="11">
        <v>82</v>
      </c>
      <c r="D43" s="11">
        <v>1517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">
      <c r="A44" s="5">
        <v>43499</v>
      </c>
      <c r="B44" s="11">
        <v>1578</v>
      </c>
      <c r="C44" s="11">
        <v>35</v>
      </c>
      <c r="D44" s="11">
        <v>1613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">
      <c r="A45" s="5"/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3" t="s">
        <v>20</v>
      </c>
      <c r="B47" s="6"/>
      <c r="C47" s="6"/>
      <c r="D47" s="3"/>
      <c r="F47" s="23" t="s">
        <v>20</v>
      </c>
      <c r="G47" s="6"/>
      <c r="H47" s="6"/>
      <c r="I47" s="3"/>
      <c r="K47" s="23" t="s">
        <v>21</v>
      </c>
      <c r="L47" s="23"/>
      <c r="M47" s="6"/>
      <c r="N47" s="6"/>
      <c r="O47" s="3"/>
      <c r="P47" s="6"/>
      <c r="Q47" s="6"/>
      <c r="R47" s="3"/>
    </row>
    <row r="48" spans="1:18" ht="26.45" customHeight="1" x14ac:dyDescent="0.2">
      <c r="A48" s="24"/>
      <c r="B48" s="7" t="s">
        <v>38</v>
      </c>
      <c r="C48" s="4" t="s">
        <v>2</v>
      </c>
      <c r="D48" s="4" t="s">
        <v>0</v>
      </c>
      <c r="F48" s="24"/>
      <c r="G48" s="7" t="s">
        <v>38</v>
      </c>
      <c r="H48" s="4" t="s">
        <v>2</v>
      </c>
      <c r="I48" s="4" t="s">
        <v>0</v>
      </c>
      <c r="K48" s="24"/>
      <c r="L48" s="24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2">
      <c r="A49" s="5">
        <v>43466</v>
      </c>
      <c r="B49" s="11">
        <v>1251</v>
      </c>
      <c r="C49" s="11">
        <v>4</v>
      </c>
      <c r="D49" s="11">
        <v>1255</v>
      </c>
      <c r="F49" s="5">
        <v>44197</v>
      </c>
      <c r="G49" s="11">
        <v>323</v>
      </c>
      <c r="H49" s="11">
        <v>7</v>
      </c>
      <c r="I49" s="11">
        <v>330</v>
      </c>
      <c r="K49" s="5">
        <v>43469</v>
      </c>
      <c r="L49" s="5">
        <v>44197</v>
      </c>
      <c r="M49" s="11">
        <v>-967</v>
      </c>
      <c r="N49" s="11">
        <v>-42</v>
      </c>
      <c r="O49" s="11">
        <v>-1009</v>
      </c>
      <c r="P49" s="8">
        <v>-0.74961240310077515</v>
      </c>
      <c r="Q49" s="8">
        <v>-0.85714285714285721</v>
      </c>
      <c r="R49" s="12">
        <v>-0.7535474234503361</v>
      </c>
    </row>
    <row r="50" spans="1:18" x14ac:dyDescent="0.2">
      <c r="A50" s="5">
        <v>43467</v>
      </c>
      <c r="B50" s="11">
        <v>1402</v>
      </c>
      <c r="C50" s="11">
        <v>22</v>
      </c>
      <c r="D50" s="11">
        <v>1424</v>
      </c>
      <c r="F50" s="5">
        <v>44198</v>
      </c>
      <c r="G50" s="11">
        <v>395</v>
      </c>
      <c r="H50" s="11">
        <v>27</v>
      </c>
      <c r="I50" s="11">
        <v>422</v>
      </c>
      <c r="K50" s="5">
        <v>43470</v>
      </c>
      <c r="L50" s="5">
        <v>44198</v>
      </c>
      <c r="M50" s="11">
        <v>-1149</v>
      </c>
      <c r="N50" s="11">
        <v>6</v>
      </c>
      <c r="O50" s="11">
        <v>-1143</v>
      </c>
      <c r="P50" s="8">
        <v>-0.74417098445595853</v>
      </c>
      <c r="Q50" s="8">
        <v>0.28571428571428581</v>
      </c>
      <c r="R50" s="12">
        <v>-0.73035143769968047</v>
      </c>
    </row>
    <row r="51" spans="1:18" x14ac:dyDescent="0.2">
      <c r="A51" s="5">
        <v>43468</v>
      </c>
      <c r="B51" s="11">
        <v>1166</v>
      </c>
      <c r="C51" s="11">
        <v>53</v>
      </c>
      <c r="D51" s="11">
        <v>1219</v>
      </c>
      <c r="F51" s="5">
        <v>44199</v>
      </c>
      <c r="G51" s="11">
        <v>372</v>
      </c>
      <c r="H51" s="11">
        <v>24</v>
      </c>
      <c r="I51" s="11">
        <v>396</v>
      </c>
      <c r="K51" s="5">
        <v>43471</v>
      </c>
      <c r="L51" s="5">
        <v>44199</v>
      </c>
      <c r="M51" s="11">
        <v>-889</v>
      </c>
      <c r="N51" s="11">
        <v>6</v>
      </c>
      <c r="O51" s="11">
        <v>-883</v>
      </c>
      <c r="P51" s="8">
        <v>-0.70499603489294205</v>
      </c>
      <c r="Q51" s="8">
        <v>0.33333333333333326</v>
      </c>
      <c r="R51" s="12">
        <v>-0.69038311180609857</v>
      </c>
    </row>
    <row r="52" spans="1:18" x14ac:dyDescent="0.2">
      <c r="A52" s="5">
        <v>43469</v>
      </c>
      <c r="B52" s="11">
        <v>1290</v>
      </c>
      <c r="C52" s="11">
        <v>49</v>
      </c>
      <c r="D52" s="11">
        <v>1339</v>
      </c>
      <c r="F52" s="5">
        <v>44200</v>
      </c>
      <c r="G52" s="11">
        <v>366</v>
      </c>
      <c r="H52" s="11">
        <v>36</v>
      </c>
      <c r="I52" s="11">
        <v>402</v>
      </c>
      <c r="K52" s="5">
        <v>43472</v>
      </c>
      <c r="L52" s="5">
        <v>44200</v>
      </c>
      <c r="M52" s="11">
        <v>-316</v>
      </c>
      <c r="N52" s="11">
        <v>-54</v>
      </c>
      <c r="O52" s="11">
        <v>-370</v>
      </c>
      <c r="P52" s="8">
        <v>-0.46334310850439886</v>
      </c>
      <c r="Q52" s="8">
        <v>-0.6</v>
      </c>
      <c r="R52" s="12">
        <v>-0.47927461139896377</v>
      </c>
    </row>
    <row r="53" spans="1:18" x14ac:dyDescent="0.2">
      <c r="A53" s="5">
        <v>43470</v>
      </c>
      <c r="B53" s="11">
        <v>1544</v>
      </c>
      <c r="C53" s="11">
        <v>21</v>
      </c>
      <c r="D53" s="11">
        <v>1565</v>
      </c>
      <c r="F53" s="5">
        <v>44201</v>
      </c>
      <c r="G53" s="11">
        <v>398</v>
      </c>
      <c r="H53" s="11">
        <v>67</v>
      </c>
      <c r="I53" s="11">
        <v>465</v>
      </c>
      <c r="K53" s="5">
        <v>43473</v>
      </c>
      <c r="L53" s="5">
        <v>44201</v>
      </c>
      <c r="M53" s="11">
        <v>-92</v>
      </c>
      <c r="N53" s="11">
        <v>-24</v>
      </c>
      <c r="O53" s="11">
        <v>-116</v>
      </c>
      <c r="P53" s="8">
        <v>-0.18775510204081636</v>
      </c>
      <c r="Q53" s="8">
        <v>-0.26373626373626369</v>
      </c>
      <c r="R53" s="12">
        <v>-0.19965576592082612</v>
      </c>
    </row>
    <row r="54" spans="1:18" x14ac:dyDescent="0.2">
      <c r="A54" s="5">
        <v>43471</v>
      </c>
      <c r="B54" s="11">
        <v>1261</v>
      </c>
      <c r="C54" s="11">
        <v>18</v>
      </c>
      <c r="D54" s="11">
        <v>1279</v>
      </c>
      <c r="F54" s="5">
        <v>44202</v>
      </c>
      <c r="G54" s="11">
        <v>367</v>
      </c>
      <c r="H54" s="11">
        <v>96</v>
      </c>
      <c r="I54" s="11">
        <v>463</v>
      </c>
      <c r="K54" s="5">
        <v>43474</v>
      </c>
      <c r="L54" s="5">
        <v>44202</v>
      </c>
      <c r="M54" s="11">
        <v>37</v>
      </c>
      <c r="N54" s="11">
        <v>59</v>
      </c>
      <c r="O54" s="11">
        <v>96</v>
      </c>
      <c r="P54" s="8">
        <v>0.11212121212121207</v>
      </c>
      <c r="Q54" s="8">
        <v>1.5945945945945947</v>
      </c>
      <c r="R54" s="12">
        <v>0.26158038147138973</v>
      </c>
    </row>
    <row r="55" spans="1:18" x14ac:dyDescent="0.2">
      <c r="A55" s="5">
        <v>43472</v>
      </c>
      <c r="B55" s="11">
        <v>682</v>
      </c>
      <c r="C55" s="11">
        <v>90</v>
      </c>
      <c r="D55" s="11">
        <v>772</v>
      </c>
      <c r="F55" s="5">
        <v>44203</v>
      </c>
      <c r="G55" s="11">
        <v>643</v>
      </c>
      <c r="H55" s="11">
        <v>106</v>
      </c>
      <c r="I55" s="11">
        <v>749</v>
      </c>
      <c r="K55" s="5">
        <v>43475</v>
      </c>
      <c r="L55" s="5">
        <v>44203</v>
      </c>
      <c r="M55" s="11">
        <v>89</v>
      </c>
      <c r="N55" s="11">
        <v>-49</v>
      </c>
      <c r="O55" s="11">
        <v>40</v>
      </c>
      <c r="P55" s="8">
        <v>0.1606498194945849</v>
      </c>
      <c r="Q55" s="8">
        <v>-0.31612903225806455</v>
      </c>
      <c r="R55" s="12">
        <v>5.6417489421720646E-2</v>
      </c>
    </row>
    <row r="56" spans="1:18" x14ac:dyDescent="0.2">
      <c r="A56" s="5">
        <v>43473</v>
      </c>
      <c r="B56" s="11">
        <v>490</v>
      </c>
      <c r="C56" s="11">
        <v>91</v>
      </c>
      <c r="D56" s="11">
        <v>581</v>
      </c>
      <c r="F56" s="5">
        <v>44204</v>
      </c>
      <c r="G56" s="11">
        <v>770</v>
      </c>
      <c r="H56" s="11">
        <v>83</v>
      </c>
      <c r="I56" s="11">
        <v>853</v>
      </c>
      <c r="K56" s="5">
        <v>43476</v>
      </c>
      <c r="L56" s="5">
        <v>44204</v>
      </c>
      <c r="M56" s="11">
        <v>-71</v>
      </c>
      <c r="N56" s="11">
        <v>-17</v>
      </c>
      <c r="O56" s="11">
        <v>-88</v>
      </c>
      <c r="P56" s="8">
        <v>-8.4423305588585018E-2</v>
      </c>
      <c r="Q56" s="8">
        <v>-0.17000000000000004</v>
      </c>
      <c r="R56" s="12">
        <v>-9.3517534537725822E-2</v>
      </c>
    </row>
    <row r="57" spans="1:18" x14ac:dyDescent="0.2">
      <c r="A57" s="5">
        <v>43474</v>
      </c>
      <c r="B57" s="11">
        <v>330</v>
      </c>
      <c r="C57" s="11">
        <v>37</v>
      </c>
      <c r="D57" s="11">
        <v>367</v>
      </c>
      <c r="F57" s="5">
        <v>44205</v>
      </c>
      <c r="G57" s="11">
        <v>606</v>
      </c>
      <c r="H57" s="11">
        <v>22</v>
      </c>
      <c r="I57" s="11">
        <v>628</v>
      </c>
      <c r="K57" s="5">
        <v>43477</v>
      </c>
      <c r="L57" s="5">
        <v>44205</v>
      </c>
      <c r="M57" s="11">
        <v>-218</v>
      </c>
      <c r="N57" s="11">
        <v>-8</v>
      </c>
      <c r="O57" s="11">
        <v>-226</v>
      </c>
      <c r="P57" s="8">
        <v>-0.2645631067961165</v>
      </c>
      <c r="Q57" s="8">
        <v>-0.26666666666666672</v>
      </c>
      <c r="R57" s="12">
        <v>-0.26463700234192034</v>
      </c>
    </row>
    <row r="58" spans="1:18" x14ac:dyDescent="0.2">
      <c r="A58" s="5">
        <v>43475</v>
      </c>
      <c r="B58" s="11">
        <v>554</v>
      </c>
      <c r="C58" s="11">
        <v>155</v>
      </c>
      <c r="D58" s="11">
        <v>709</v>
      </c>
      <c r="F58" s="5">
        <v>44206</v>
      </c>
      <c r="G58" s="11">
        <v>788</v>
      </c>
      <c r="H58" s="11">
        <v>1</v>
      </c>
      <c r="I58" s="11">
        <v>789</v>
      </c>
      <c r="K58" s="5">
        <v>43478</v>
      </c>
      <c r="L58" s="5">
        <v>44206</v>
      </c>
      <c r="M58" s="11">
        <v>397</v>
      </c>
      <c r="N58" s="11">
        <v>-24</v>
      </c>
      <c r="O58" s="11">
        <v>373</v>
      </c>
      <c r="P58" s="8">
        <v>1.0153452685421995</v>
      </c>
      <c r="Q58" s="8">
        <v>-0.96</v>
      </c>
      <c r="R58" s="12">
        <v>0.89663461538461542</v>
      </c>
    </row>
    <row r="59" spans="1:18" x14ac:dyDescent="0.2">
      <c r="A59" s="5">
        <v>43476</v>
      </c>
      <c r="B59" s="11">
        <v>841</v>
      </c>
      <c r="C59" s="11">
        <v>100</v>
      </c>
      <c r="D59" s="11">
        <v>941</v>
      </c>
      <c r="F59" s="5">
        <v>44207</v>
      </c>
      <c r="G59" s="11">
        <v>562</v>
      </c>
      <c r="H59" s="11">
        <v>112</v>
      </c>
      <c r="I59" s="11">
        <v>674</v>
      </c>
      <c r="K59" s="5">
        <v>43479</v>
      </c>
      <c r="L59" s="5">
        <v>44207</v>
      </c>
      <c r="M59" s="11">
        <v>208</v>
      </c>
      <c r="N59" s="11">
        <v>83</v>
      </c>
      <c r="O59" s="11">
        <v>291</v>
      </c>
      <c r="P59" s="8">
        <v>0.58757062146892647</v>
      </c>
      <c r="Q59" s="8">
        <v>2.8620689655172415</v>
      </c>
      <c r="R59" s="12">
        <v>0.75979112271540461</v>
      </c>
    </row>
    <row r="60" spans="1:18" x14ac:dyDescent="0.2">
      <c r="A60" s="5">
        <v>43477</v>
      </c>
      <c r="B60" s="11">
        <v>824</v>
      </c>
      <c r="C60" s="11">
        <v>30</v>
      </c>
      <c r="D60" s="11">
        <v>854</v>
      </c>
      <c r="F60" s="5">
        <v>44208</v>
      </c>
      <c r="G60" s="11">
        <v>358</v>
      </c>
      <c r="H60" s="11">
        <v>57</v>
      </c>
      <c r="I60" s="11">
        <v>415</v>
      </c>
      <c r="K60" s="5">
        <v>43480</v>
      </c>
      <c r="L60" s="5">
        <v>44208</v>
      </c>
      <c r="M60" s="11">
        <v>-150</v>
      </c>
      <c r="N60" s="11">
        <v>-131</v>
      </c>
      <c r="O60" s="11">
        <v>-281</v>
      </c>
      <c r="P60" s="8">
        <v>-0.29527559055118113</v>
      </c>
      <c r="Q60" s="8">
        <v>-0.69680851063829785</v>
      </c>
      <c r="R60" s="12">
        <v>-0.40373563218390807</v>
      </c>
    </row>
    <row r="61" spans="1:18" x14ac:dyDescent="0.2">
      <c r="A61" s="5">
        <v>43478</v>
      </c>
      <c r="B61" s="11">
        <v>391</v>
      </c>
      <c r="C61" s="11">
        <v>25</v>
      </c>
      <c r="D61" s="11">
        <v>416</v>
      </c>
      <c r="F61" s="5">
        <v>44209</v>
      </c>
      <c r="G61" s="11">
        <v>326</v>
      </c>
      <c r="H61" s="11">
        <v>15</v>
      </c>
      <c r="I61" s="11">
        <v>341</v>
      </c>
      <c r="K61" s="5">
        <v>43481</v>
      </c>
      <c r="L61" s="5">
        <v>44209</v>
      </c>
      <c r="M61" s="11">
        <v>-263</v>
      </c>
      <c r="N61" s="11">
        <v>-154</v>
      </c>
      <c r="O61" s="11">
        <v>-417</v>
      </c>
      <c r="P61" s="8">
        <v>-0.4465195246179966</v>
      </c>
      <c r="Q61" s="8">
        <v>-0.91124260355029585</v>
      </c>
      <c r="R61" s="12">
        <v>-0.55013192612137196</v>
      </c>
    </row>
    <row r="62" spans="1:18" x14ac:dyDescent="0.2">
      <c r="A62" s="5">
        <v>43479</v>
      </c>
      <c r="B62" s="11">
        <v>354</v>
      </c>
      <c r="C62" s="11">
        <v>29</v>
      </c>
      <c r="D62" s="11">
        <v>383</v>
      </c>
      <c r="F62" s="5">
        <v>44210</v>
      </c>
      <c r="G62" s="11">
        <v>334</v>
      </c>
      <c r="H62" s="11">
        <v>32</v>
      </c>
      <c r="I62" s="11">
        <v>366</v>
      </c>
      <c r="K62" s="5">
        <v>43482</v>
      </c>
      <c r="L62" s="5">
        <v>44210</v>
      </c>
      <c r="M62" s="11">
        <v>-196</v>
      </c>
      <c r="N62" s="11">
        <v>-121</v>
      </c>
      <c r="O62" s="11">
        <v>-317</v>
      </c>
      <c r="P62" s="8">
        <v>-0.36981132075471701</v>
      </c>
      <c r="Q62" s="8">
        <v>-0.79084967320261434</v>
      </c>
      <c r="R62" s="12">
        <v>-0.4641288433382138</v>
      </c>
    </row>
    <row r="63" spans="1:18" x14ac:dyDescent="0.2">
      <c r="A63" s="5">
        <v>43480</v>
      </c>
      <c r="B63" s="11">
        <v>508</v>
      </c>
      <c r="C63" s="11">
        <v>188</v>
      </c>
      <c r="D63" s="11">
        <v>696</v>
      </c>
      <c r="F63" s="5">
        <v>44211</v>
      </c>
      <c r="G63" s="11">
        <v>548</v>
      </c>
      <c r="H63" s="11">
        <v>140</v>
      </c>
      <c r="I63" s="11">
        <v>688</v>
      </c>
      <c r="K63" s="5">
        <v>43483</v>
      </c>
      <c r="L63" s="5">
        <v>44211</v>
      </c>
      <c r="M63" s="11">
        <v>-296</v>
      </c>
      <c r="N63" s="11">
        <v>-17</v>
      </c>
      <c r="O63" s="11">
        <v>-313</v>
      </c>
      <c r="P63" s="8">
        <v>-0.35071090047393361</v>
      </c>
      <c r="Q63" s="8">
        <v>-0.10828025477707004</v>
      </c>
      <c r="R63" s="12">
        <v>-0.31268731268731265</v>
      </c>
    </row>
    <row r="64" spans="1:18" x14ac:dyDescent="0.2">
      <c r="A64" s="5">
        <v>43481</v>
      </c>
      <c r="B64" s="11">
        <v>589</v>
      </c>
      <c r="C64" s="11">
        <v>169</v>
      </c>
      <c r="D64" s="11">
        <v>758</v>
      </c>
      <c r="F64" s="5">
        <v>44212</v>
      </c>
      <c r="G64" s="11">
        <v>533</v>
      </c>
      <c r="H64" s="11">
        <v>24</v>
      </c>
      <c r="I64" s="11">
        <v>557</v>
      </c>
      <c r="K64" s="5">
        <v>43484</v>
      </c>
      <c r="L64" s="5">
        <v>44212</v>
      </c>
      <c r="M64" s="11">
        <v>-352</v>
      </c>
      <c r="N64" s="11">
        <v>4</v>
      </c>
      <c r="O64" s="11">
        <v>-348</v>
      </c>
      <c r="P64" s="8">
        <v>-0.3977401129943503</v>
      </c>
      <c r="Q64" s="8">
        <v>0.19999999999999996</v>
      </c>
      <c r="R64" s="12">
        <v>-0.38453038674033146</v>
      </c>
    </row>
    <row r="65" spans="1:18" x14ac:dyDescent="0.2">
      <c r="A65" s="5">
        <v>43482</v>
      </c>
      <c r="B65" s="11">
        <v>530</v>
      </c>
      <c r="C65" s="11">
        <v>153</v>
      </c>
      <c r="D65" s="11">
        <v>683</v>
      </c>
      <c r="F65" s="5">
        <v>44213</v>
      </c>
      <c r="G65" s="11">
        <v>303</v>
      </c>
      <c r="H65" s="11">
        <v>22</v>
      </c>
      <c r="I65" s="11">
        <v>325</v>
      </c>
      <c r="K65" s="5">
        <v>43485</v>
      </c>
      <c r="L65" s="5">
        <v>44213</v>
      </c>
      <c r="M65" s="11">
        <v>-848</v>
      </c>
      <c r="N65" s="11">
        <v>20</v>
      </c>
      <c r="O65" s="11">
        <v>-828</v>
      </c>
      <c r="P65" s="8">
        <v>-0.73675065160729802</v>
      </c>
      <c r="Q65" s="8">
        <v>10</v>
      </c>
      <c r="R65" s="12">
        <v>-0.7181266261925412</v>
      </c>
    </row>
    <row r="66" spans="1:18" x14ac:dyDescent="0.2">
      <c r="A66" s="5">
        <v>43483</v>
      </c>
      <c r="B66" s="11">
        <v>844</v>
      </c>
      <c r="C66" s="11">
        <v>157</v>
      </c>
      <c r="D66" s="11">
        <v>1001</v>
      </c>
      <c r="F66" s="5">
        <v>44214</v>
      </c>
      <c r="G66" s="11">
        <v>430</v>
      </c>
      <c r="H66" s="11">
        <v>104</v>
      </c>
      <c r="I66" s="11">
        <v>534</v>
      </c>
      <c r="K66" s="5">
        <v>43486</v>
      </c>
      <c r="L66" s="5">
        <v>44214</v>
      </c>
      <c r="M66" s="11">
        <v>-155</v>
      </c>
      <c r="N66" s="11">
        <v>-14</v>
      </c>
      <c r="O66" s="11">
        <v>-169</v>
      </c>
      <c r="P66" s="8">
        <v>-0.2649572649572649</v>
      </c>
      <c r="Q66" s="8">
        <v>-0.11864406779661019</v>
      </c>
      <c r="R66" s="12">
        <v>-0.24039829302987192</v>
      </c>
    </row>
    <row r="67" spans="1:18" x14ac:dyDescent="0.2">
      <c r="A67" s="5">
        <v>43484</v>
      </c>
      <c r="B67" s="11">
        <v>885</v>
      </c>
      <c r="C67" s="11">
        <v>20</v>
      </c>
      <c r="D67" s="11">
        <v>905</v>
      </c>
      <c r="F67" s="5">
        <v>44215</v>
      </c>
      <c r="G67" s="11">
        <v>550</v>
      </c>
      <c r="H67" s="11">
        <v>204</v>
      </c>
      <c r="I67" s="11">
        <v>754</v>
      </c>
      <c r="K67" s="5">
        <v>43487</v>
      </c>
      <c r="L67" s="5">
        <v>44215</v>
      </c>
      <c r="M67" s="11">
        <v>-22</v>
      </c>
      <c r="N67" s="11">
        <v>41</v>
      </c>
      <c r="O67" s="11">
        <v>19</v>
      </c>
      <c r="P67" s="8">
        <v>-3.8461538461538436E-2</v>
      </c>
      <c r="Q67" s="8">
        <v>0.25153374233128845</v>
      </c>
      <c r="R67" s="12">
        <v>2.5850340136054362E-2</v>
      </c>
    </row>
    <row r="68" spans="1:18" x14ac:dyDescent="0.2">
      <c r="A68" s="5">
        <v>43485</v>
      </c>
      <c r="B68" s="11">
        <v>1151</v>
      </c>
      <c r="C68" s="11">
        <v>2</v>
      </c>
      <c r="D68" s="11">
        <v>1153</v>
      </c>
      <c r="F68" s="5">
        <v>44216</v>
      </c>
      <c r="G68" s="11">
        <v>479</v>
      </c>
      <c r="H68" s="11">
        <v>203</v>
      </c>
      <c r="I68" s="11">
        <v>682</v>
      </c>
      <c r="K68" s="5">
        <v>43488</v>
      </c>
      <c r="L68" s="5">
        <v>44216</v>
      </c>
      <c r="M68" s="11">
        <v>-51</v>
      </c>
      <c r="N68" s="11">
        <v>15</v>
      </c>
      <c r="O68" s="11">
        <v>-36</v>
      </c>
      <c r="P68" s="8">
        <v>-9.6226415094339601E-2</v>
      </c>
      <c r="Q68" s="8">
        <v>7.9787234042553168E-2</v>
      </c>
      <c r="R68" s="12">
        <v>-5.0139275766016733E-2</v>
      </c>
    </row>
    <row r="69" spans="1:18" x14ac:dyDescent="0.2">
      <c r="A69" s="5">
        <v>43486</v>
      </c>
      <c r="B69" s="11">
        <v>585</v>
      </c>
      <c r="C69" s="11">
        <v>118</v>
      </c>
      <c r="D69" s="11">
        <v>703</v>
      </c>
      <c r="F69" s="5">
        <v>44217</v>
      </c>
      <c r="G69" s="11">
        <v>463</v>
      </c>
      <c r="H69" s="11">
        <v>106</v>
      </c>
      <c r="I69" s="11">
        <v>569</v>
      </c>
      <c r="K69" s="5">
        <v>43489</v>
      </c>
      <c r="L69" s="5">
        <v>44217</v>
      </c>
      <c r="M69" s="11">
        <v>-137</v>
      </c>
      <c r="N69" s="11">
        <v>-92</v>
      </c>
      <c r="O69" s="11">
        <v>-229</v>
      </c>
      <c r="P69" s="8">
        <v>-0.22833333333333339</v>
      </c>
      <c r="Q69" s="8">
        <v>-0.46464646464646464</v>
      </c>
      <c r="R69" s="12">
        <v>-0.28696741854636587</v>
      </c>
    </row>
    <row r="70" spans="1:18" x14ac:dyDescent="0.2">
      <c r="A70" s="5">
        <v>43487</v>
      </c>
      <c r="B70" s="11">
        <v>572</v>
      </c>
      <c r="C70" s="11">
        <v>163</v>
      </c>
      <c r="D70" s="11">
        <v>735</v>
      </c>
      <c r="F70" s="5">
        <v>44218</v>
      </c>
      <c r="G70" s="11">
        <v>622</v>
      </c>
      <c r="H70" s="11">
        <v>80</v>
      </c>
      <c r="I70" s="11">
        <v>702</v>
      </c>
      <c r="K70" s="5">
        <v>43490</v>
      </c>
      <c r="L70" s="5">
        <v>44218</v>
      </c>
      <c r="M70" s="11">
        <v>-326</v>
      </c>
      <c r="N70" s="11">
        <v>-46</v>
      </c>
      <c r="O70" s="11">
        <v>-372</v>
      </c>
      <c r="P70" s="8">
        <v>-0.34388185654008441</v>
      </c>
      <c r="Q70" s="8">
        <v>-0.36507936507936511</v>
      </c>
      <c r="R70" s="12">
        <v>-0.34636871508379885</v>
      </c>
    </row>
    <row r="71" spans="1:18" x14ac:dyDescent="0.2">
      <c r="A71" s="5">
        <v>43488</v>
      </c>
      <c r="B71" s="11">
        <v>530</v>
      </c>
      <c r="C71" s="11">
        <v>188</v>
      </c>
      <c r="D71" s="11">
        <v>718</v>
      </c>
      <c r="F71" s="5">
        <v>44219</v>
      </c>
      <c r="G71" s="11">
        <v>461</v>
      </c>
      <c r="H71" s="11">
        <v>51</v>
      </c>
      <c r="I71" s="11">
        <v>512</v>
      </c>
      <c r="K71" s="5">
        <v>43491</v>
      </c>
      <c r="L71" s="5">
        <v>44219</v>
      </c>
      <c r="M71" s="11">
        <v>-507</v>
      </c>
      <c r="N71" s="11">
        <v>21</v>
      </c>
      <c r="O71" s="11">
        <v>-486</v>
      </c>
      <c r="P71" s="8">
        <v>-0.52376033057851235</v>
      </c>
      <c r="Q71" s="8">
        <v>0.7</v>
      </c>
      <c r="R71" s="12">
        <v>-0.48697394789579163</v>
      </c>
    </row>
    <row r="72" spans="1:18" x14ac:dyDescent="0.2">
      <c r="A72" s="5">
        <v>43489</v>
      </c>
      <c r="B72" s="11">
        <v>600</v>
      </c>
      <c r="C72" s="11">
        <v>198</v>
      </c>
      <c r="D72" s="11">
        <v>798</v>
      </c>
      <c r="F72" s="5">
        <v>44220</v>
      </c>
      <c r="G72" s="11">
        <v>646</v>
      </c>
      <c r="H72" s="11">
        <v>6</v>
      </c>
      <c r="I72" s="11">
        <v>652</v>
      </c>
      <c r="K72" s="5">
        <v>43492</v>
      </c>
      <c r="L72" s="5">
        <v>44220</v>
      </c>
      <c r="M72" s="11">
        <v>-295</v>
      </c>
      <c r="N72" s="11">
        <v>-9</v>
      </c>
      <c r="O72" s="11">
        <v>-304</v>
      </c>
      <c r="P72" s="8">
        <v>-0.31349628055260359</v>
      </c>
      <c r="Q72" s="8">
        <v>-0.6</v>
      </c>
      <c r="R72" s="12">
        <v>-0.31799163179916323</v>
      </c>
    </row>
    <row r="73" spans="1:18" x14ac:dyDescent="0.2">
      <c r="A73" s="5">
        <v>43490</v>
      </c>
      <c r="B73" s="11">
        <v>948</v>
      </c>
      <c r="C73" s="11">
        <v>126</v>
      </c>
      <c r="D73" s="11">
        <v>1074</v>
      </c>
      <c r="F73" s="5">
        <v>44221</v>
      </c>
      <c r="G73" s="11">
        <v>379</v>
      </c>
      <c r="H73" s="11">
        <v>34</v>
      </c>
      <c r="I73" s="11">
        <v>413</v>
      </c>
      <c r="K73" s="5">
        <v>43493</v>
      </c>
      <c r="L73" s="5">
        <v>44221</v>
      </c>
      <c r="M73" s="11">
        <f t="shared" ref="M73:M75" si="4">G73-B76</f>
        <v>-74</v>
      </c>
      <c r="N73" s="11">
        <f t="shared" ref="N73:N75" si="5">H73-C76</f>
        <v>-94</v>
      </c>
      <c r="O73" s="11">
        <f t="shared" ref="O73:O75" si="6">I73-D76</f>
        <v>-168</v>
      </c>
      <c r="P73" s="8">
        <f t="shared" ref="P73:P75" si="7">G73/B76-1</f>
        <v>-0.16335540838852092</v>
      </c>
      <c r="Q73" s="8">
        <f t="shared" ref="Q73:Q75" si="8">H73/C76-1</f>
        <v>-0.734375</v>
      </c>
      <c r="R73" s="12">
        <f t="shared" ref="R73:R75" si="9">I73/D76-1</f>
        <v>-0.28915662650602414</v>
      </c>
    </row>
    <row r="74" spans="1:18" x14ac:dyDescent="0.2">
      <c r="A74" s="5">
        <v>43491</v>
      </c>
      <c r="B74" s="11">
        <v>968</v>
      </c>
      <c r="C74" s="11">
        <v>30</v>
      </c>
      <c r="D74" s="11">
        <v>998</v>
      </c>
      <c r="F74" s="5">
        <v>44222</v>
      </c>
      <c r="G74" s="11">
        <v>481</v>
      </c>
      <c r="H74" s="11">
        <v>195</v>
      </c>
      <c r="I74" s="11">
        <v>676</v>
      </c>
      <c r="K74" s="5">
        <v>43494</v>
      </c>
      <c r="L74" s="5">
        <v>44222</v>
      </c>
      <c r="M74" s="11">
        <f t="shared" si="4"/>
        <v>-8</v>
      </c>
      <c r="N74" s="11">
        <f t="shared" si="5"/>
        <v>18</v>
      </c>
      <c r="O74" s="11">
        <f t="shared" si="6"/>
        <v>10</v>
      </c>
      <c r="P74" s="8">
        <f t="shared" si="7"/>
        <v>-1.6359918200409052E-2</v>
      </c>
      <c r="Q74" s="8">
        <f t="shared" si="8"/>
        <v>0.10169491525423724</v>
      </c>
      <c r="R74" s="12">
        <f t="shared" si="9"/>
        <v>1.501501501501501E-2</v>
      </c>
    </row>
    <row r="75" spans="1:18" x14ac:dyDescent="0.2">
      <c r="A75" s="5">
        <v>43492</v>
      </c>
      <c r="B75" s="11">
        <v>941</v>
      </c>
      <c r="C75" s="11">
        <v>15</v>
      </c>
      <c r="D75" s="11">
        <v>956</v>
      </c>
      <c r="F75" s="5">
        <v>44223</v>
      </c>
      <c r="G75" s="11">
        <v>333</v>
      </c>
      <c r="H75" s="11">
        <v>38</v>
      </c>
      <c r="I75" s="11">
        <v>371</v>
      </c>
      <c r="K75" s="5">
        <v>43495</v>
      </c>
      <c r="L75" s="5">
        <v>44223</v>
      </c>
      <c r="M75" s="11">
        <f t="shared" si="4"/>
        <v>-104</v>
      </c>
      <c r="N75" s="11">
        <f t="shared" si="5"/>
        <v>-138</v>
      </c>
      <c r="O75" s="11">
        <f t="shared" si="6"/>
        <v>-242</v>
      </c>
      <c r="P75" s="8">
        <f t="shared" si="7"/>
        <v>-0.23798627002288331</v>
      </c>
      <c r="Q75" s="8">
        <f t="shared" si="8"/>
        <v>-0.78409090909090906</v>
      </c>
      <c r="R75" s="12">
        <f t="shared" si="9"/>
        <v>-0.3947797716150081</v>
      </c>
    </row>
    <row r="76" spans="1:18" x14ac:dyDescent="0.2">
      <c r="A76" s="5">
        <v>43493</v>
      </c>
      <c r="B76" s="11">
        <v>453</v>
      </c>
      <c r="C76" s="11">
        <v>128</v>
      </c>
      <c r="D76" s="11">
        <v>581</v>
      </c>
      <c r="F76" s="5">
        <v>44224</v>
      </c>
      <c r="G76" s="11">
        <v>337</v>
      </c>
      <c r="H76" s="11">
        <v>38</v>
      </c>
      <c r="I76" s="11">
        <v>375</v>
      </c>
      <c r="K76" s="5">
        <v>43496</v>
      </c>
      <c r="L76" s="5">
        <v>44224</v>
      </c>
      <c r="M76" s="11">
        <f t="shared" ref="M76:M79" si="10">G76-B79</f>
        <v>-235</v>
      </c>
      <c r="N76" s="11">
        <f t="shared" ref="N76:N79" si="11">H76-C79</f>
        <v>-146</v>
      </c>
      <c r="O76" s="11">
        <f t="shared" ref="O76:O79" si="12">I76-D79</f>
        <v>-381</v>
      </c>
      <c r="P76" s="8">
        <f t="shared" ref="P76:P79" si="13">G76/B79-1</f>
        <v>-0.41083916083916083</v>
      </c>
      <c r="Q76" s="8">
        <f t="shared" ref="Q76:Q79" si="14">H76/C79-1</f>
        <v>-0.79347826086956519</v>
      </c>
      <c r="R76" s="12">
        <f t="shared" ref="R76:R79" si="15">I76/D79-1</f>
        <v>-0.50396825396825395</v>
      </c>
    </row>
    <row r="77" spans="1:18" x14ac:dyDescent="0.2">
      <c r="A77" s="5">
        <v>43494</v>
      </c>
      <c r="B77" s="11">
        <v>489</v>
      </c>
      <c r="C77" s="11">
        <v>177</v>
      </c>
      <c r="D77" s="11">
        <v>666</v>
      </c>
      <c r="F77" s="5">
        <v>44225</v>
      </c>
      <c r="G77" s="11">
        <v>389</v>
      </c>
      <c r="H77" s="11">
        <v>35</v>
      </c>
      <c r="I77" s="11">
        <v>424</v>
      </c>
      <c r="K77" s="5">
        <v>43497</v>
      </c>
      <c r="L77" s="5">
        <v>44225</v>
      </c>
      <c r="M77" s="11">
        <f t="shared" si="10"/>
        <v>-202</v>
      </c>
      <c r="N77" s="11">
        <f t="shared" si="11"/>
        <v>-12</v>
      </c>
      <c r="O77" s="11">
        <f t="shared" si="12"/>
        <v>-214</v>
      </c>
      <c r="P77" s="8">
        <f t="shared" si="13"/>
        <v>-0.34179357021996615</v>
      </c>
      <c r="Q77" s="8">
        <f t="shared" si="14"/>
        <v>-0.25531914893617025</v>
      </c>
      <c r="R77" s="12">
        <f t="shared" si="15"/>
        <v>-0.33542319749216298</v>
      </c>
    </row>
    <row r="78" spans="1:18" x14ac:dyDescent="0.2">
      <c r="A78" s="5">
        <v>43495</v>
      </c>
      <c r="B78" s="11">
        <v>437</v>
      </c>
      <c r="C78" s="11">
        <v>176</v>
      </c>
      <c r="D78" s="11">
        <v>613</v>
      </c>
      <c r="F78" s="5">
        <v>44226</v>
      </c>
      <c r="G78" s="11">
        <v>371</v>
      </c>
      <c r="H78" s="11">
        <v>86</v>
      </c>
      <c r="I78" s="11">
        <v>457</v>
      </c>
      <c r="K78" s="5">
        <v>43498</v>
      </c>
      <c r="L78" s="5">
        <v>44226</v>
      </c>
      <c r="M78" s="11">
        <f t="shared" si="10"/>
        <v>-368</v>
      </c>
      <c r="N78" s="11">
        <f t="shared" si="11"/>
        <v>33</v>
      </c>
      <c r="O78" s="11">
        <f t="shared" si="12"/>
        <v>-335</v>
      </c>
      <c r="P78" s="8">
        <f t="shared" si="13"/>
        <v>-0.49797023004059537</v>
      </c>
      <c r="Q78" s="8">
        <f t="shared" si="14"/>
        <v>0.62264150943396235</v>
      </c>
      <c r="R78" s="12">
        <f t="shared" si="15"/>
        <v>-0.42297979797979801</v>
      </c>
    </row>
    <row r="79" spans="1:18" x14ac:dyDescent="0.2">
      <c r="A79" s="5">
        <v>43496</v>
      </c>
      <c r="B79" s="11">
        <v>572</v>
      </c>
      <c r="C79" s="11">
        <v>184</v>
      </c>
      <c r="D79" s="11">
        <v>756</v>
      </c>
      <c r="F79" s="5">
        <v>44227</v>
      </c>
      <c r="G79" s="11">
        <v>562</v>
      </c>
      <c r="H79" s="11">
        <v>9</v>
      </c>
      <c r="I79" s="11">
        <v>571</v>
      </c>
      <c r="K79" s="5">
        <v>43499</v>
      </c>
      <c r="L79" s="5">
        <v>44227</v>
      </c>
      <c r="M79" s="11">
        <f t="shared" si="10"/>
        <v>-146</v>
      </c>
      <c r="N79" s="11">
        <f t="shared" si="11"/>
        <v>-11</v>
      </c>
      <c r="O79" s="11">
        <f t="shared" si="12"/>
        <v>-157</v>
      </c>
      <c r="P79" s="8">
        <f t="shared" si="13"/>
        <v>-0.20621468926553677</v>
      </c>
      <c r="Q79" s="8">
        <f t="shared" si="14"/>
        <v>-0.55000000000000004</v>
      </c>
      <c r="R79" s="12">
        <f t="shared" si="15"/>
        <v>-0.21565934065934067</v>
      </c>
    </row>
    <row r="80" spans="1:18" x14ac:dyDescent="0.2">
      <c r="A80" s="5">
        <v>43497</v>
      </c>
      <c r="B80" s="11">
        <v>591</v>
      </c>
      <c r="C80" s="11">
        <v>47</v>
      </c>
      <c r="D80" s="11">
        <v>638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">
      <c r="A81" s="5">
        <v>43498</v>
      </c>
      <c r="B81" s="11">
        <v>739</v>
      </c>
      <c r="C81" s="11">
        <v>53</v>
      </c>
      <c r="D81" s="11">
        <v>792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2">
      <c r="A82" s="5">
        <v>43499</v>
      </c>
      <c r="B82" s="11">
        <v>708</v>
      </c>
      <c r="C82" s="11">
        <v>20</v>
      </c>
      <c r="D82" s="11">
        <v>728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2">
      <c r="A83" s="5"/>
      <c r="B83" s="11"/>
      <c r="C83" s="11"/>
      <c r="D83" s="11"/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2">
      <c r="B84" s="2"/>
      <c r="C84" s="2"/>
      <c r="G84" s="2"/>
      <c r="H84" s="2"/>
    </row>
    <row r="85" spans="1:18" ht="12.95" customHeight="1" x14ac:dyDescent="0.2">
      <c r="A85" s="23" t="s">
        <v>22</v>
      </c>
      <c r="B85" s="6"/>
      <c r="C85" s="6"/>
      <c r="D85" s="3"/>
      <c r="F85" s="23" t="s">
        <v>22</v>
      </c>
      <c r="G85" s="6"/>
      <c r="H85" s="6"/>
      <c r="I85" s="3"/>
      <c r="K85" s="23" t="s">
        <v>23</v>
      </c>
      <c r="L85" s="23"/>
      <c r="M85" s="6"/>
      <c r="N85" s="6"/>
      <c r="O85" s="3"/>
      <c r="P85" s="6"/>
      <c r="Q85" s="6"/>
      <c r="R85" s="3"/>
    </row>
    <row r="86" spans="1:18" ht="26.45" customHeight="1" x14ac:dyDescent="0.2">
      <c r="A86" s="24"/>
      <c r="B86" s="7" t="s">
        <v>38</v>
      </c>
      <c r="C86" s="4" t="s">
        <v>2</v>
      </c>
      <c r="D86" s="4" t="s">
        <v>0</v>
      </c>
      <c r="F86" s="24"/>
      <c r="G86" s="7" t="s">
        <v>38</v>
      </c>
      <c r="H86" s="4" t="s">
        <v>2</v>
      </c>
      <c r="I86" s="4" t="s">
        <v>0</v>
      </c>
      <c r="K86" s="24"/>
      <c r="L86" s="24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2">
      <c r="A87" s="5">
        <v>43466</v>
      </c>
      <c r="B87" s="11">
        <v>1146</v>
      </c>
      <c r="C87" s="11">
        <v>2</v>
      </c>
      <c r="D87" s="11">
        <v>1148</v>
      </c>
      <c r="F87" s="5">
        <v>44197</v>
      </c>
      <c r="G87" s="11">
        <v>405</v>
      </c>
      <c r="H87" s="11">
        <v>4</v>
      </c>
      <c r="I87" s="11">
        <v>409</v>
      </c>
      <c r="K87" s="5">
        <v>43469</v>
      </c>
      <c r="L87" s="5">
        <v>44197</v>
      </c>
      <c r="M87" s="11">
        <v>-943</v>
      </c>
      <c r="N87" s="11">
        <v>-33</v>
      </c>
      <c r="O87" s="11">
        <v>-976</v>
      </c>
      <c r="P87" s="8">
        <v>-0.69955489614243316</v>
      </c>
      <c r="Q87" s="8">
        <v>-0.89189189189189189</v>
      </c>
      <c r="R87" s="12">
        <v>-0.70469314079422385</v>
      </c>
    </row>
    <row r="88" spans="1:18" x14ac:dyDescent="0.2">
      <c r="A88" s="5">
        <v>43467</v>
      </c>
      <c r="B88" s="11">
        <v>1706</v>
      </c>
      <c r="C88" s="11">
        <v>33</v>
      </c>
      <c r="D88" s="11">
        <v>1739</v>
      </c>
      <c r="F88" s="5">
        <v>44198</v>
      </c>
      <c r="G88" s="11">
        <v>532</v>
      </c>
      <c r="H88" s="11">
        <v>26</v>
      </c>
      <c r="I88" s="11">
        <v>558</v>
      </c>
      <c r="K88" s="5">
        <v>43470</v>
      </c>
      <c r="L88" s="5">
        <v>44198</v>
      </c>
      <c r="M88" s="11">
        <v>-1220</v>
      </c>
      <c r="N88" s="11">
        <v>-3</v>
      </c>
      <c r="O88" s="11">
        <v>-1223</v>
      </c>
      <c r="P88" s="8">
        <v>-0.69634703196347036</v>
      </c>
      <c r="Q88" s="8">
        <v>-0.10344827586206895</v>
      </c>
      <c r="R88" s="12">
        <v>-0.68669286917462102</v>
      </c>
    </row>
    <row r="89" spans="1:18" x14ac:dyDescent="0.2">
      <c r="A89" s="5">
        <v>43468</v>
      </c>
      <c r="B89" s="11">
        <v>1276</v>
      </c>
      <c r="C89" s="11">
        <v>40</v>
      </c>
      <c r="D89" s="11">
        <v>1316</v>
      </c>
      <c r="F89" s="5">
        <v>44199</v>
      </c>
      <c r="G89" s="11">
        <v>626</v>
      </c>
      <c r="H89" s="11">
        <v>34</v>
      </c>
      <c r="I89" s="11">
        <v>660</v>
      </c>
      <c r="K89" s="5">
        <v>43471</v>
      </c>
      <c r="L89" s="5">
        <v>44199</v>
      </c>
      <c r="M89" s="11">
        <v>-1001</v>
      </c>
      <c r="N89" s="11">
        <v>13</v>
      </c>
      <c r="O89" s="11">
        <v>-988</v>
      </c>
      <c r="P89" s="8">
        <v>-0.61524277811923789</v>
      </c>
      <c r="Q89" s="8">
        <v>0.61904761904761907</v>
      </c>
      <c r="R89" s="12">
        <v>-0.59951456310679618</v>
      </c>
    </row>
    <row r="90" spans="1:18" x14ac:dyDescent="0.2">
      <c r="A90" s="5">
        <v>43469</v>
      </c>
      <c r="B90" s="11">
        <v>1348</v>
      </c>
      <c r="C90" s="11">
        <v>37</v>
      </c>
      <c r="D90" s="11">
        <v>1385</v>
      </c>
      <c r="F90" s="5">
        <v>44200</v>
      </c>
      <c r="G90" s="11">
        <v>493</v>
      </c>
      <c r="H90" s="11">
        <v>36</v>
      </c>
      <c r="I90" s="11">
        <v>529</v>
      </c>
      <c r="K90" s="5">
        <v>43472</v>
      </c>
      <c r="L90" s="5">
        <v>44200</v>
      </c>
      <c r="M90" s="11">
        <v>-311</v>
      </c>
      <c r="N90" s="11">
        <v>-40</v>
      </c>
      <c r="O90" s="11">
        <v>-351</v>
      </c>
      <c r="P90" s="8">
        <v>-0.38681592039800994</v>
      </c>
      <c r="Q90" s="8">
        <v>-0.52631578947368429</v>
      </c>
      <c r="R90" s="12">
        <v>-0.39886363636363631</v>
      </c>
    </row>
    <row r="91" spans="1:18" x14ac:dyDescent="0.2">
      <c r="A91" s="5">
        <v>43470</v>
      </c>
      <c r="B91" s="11">
        <v>1752</v>
      </c>
      <c r="C91" s="11">
        <v>29</v>
      </c>
      <c r="D91" s="11">
        <v>1781</v>
      </c>
      <c r="F91" s="5">
        <v>44201</v>
      </c>
      <c r="G91" s="11">
        <v>468</v>
      </c>
      <c r="H91" s="11">
        <v>48</v>
      </c>
      <c r="I91" s="11">
        <v>516</v>
      </c>
      <c r="K91" s="5">
        <v>43473</v>
      </c>
      <c r="L91" s="5">
        <v>44201</v>
      </c>
      <c r="M91" s="11">
        <v>-120</v>
      </c>
      <c r="N91" s="11">
        <v>-18</v>
      </c>
      <c r="O91" s="11">
        <v>-138</v>
      </c>
      <c r="P91" s="8">
        <v>-0.20408163265306123</v>
      </c>
      <c r="Q91" s="8">
        <v>-0.27272727272727271</v>
      </c>
      <c r="R91" s="12">
        <v>-0.21100917431192656</v>
      </c>
    </row>
    <row r="92" spans="1:18" x14ac:dyDescent="0.2">
      <c r="A92" s="5">
        <v>43471</v>
      </c>
      <c r="B92" s="11">
        <v>1627</v>
      </c>
      <c r="C92" s="11">
        <v>21</v>
      </c>
      <c r="D92" s="11">
        <v>1648</v>
      </c>
      <c r="F92" s="5">
        <v>44202</v>
      </c>
      <c r="G92" s="11">
        <v>414</v>
      </c>
      <c r="H92" s="11">
        <v>37</v>
      </c>
      <c r="I92" s="11">
        <v>451</v>
      </c>
      <c r="K92" s="5">
        <v>43474</v>
      </c>
      <c r="L92" s="5">
        <v>44202</v>
      </c>
      <c r="M92" s="11">
        <v>12</v>
      </c>
      <c r="N92" s="11">
        <v>3</v>
      </c>
      <c r="O92" s="11">
        <v>15</v>
      </c>
      <c r="P92" s="8">
        <v>2.9850746268656803E-2</v>
      </c>
      <c r="Q92" s="8">
        <v>8.8235294117646967E-2</v>
      </c>
      <c r="R92" s="12">
        <v>3.4403669724770714E-2</v>
      </c>
    </row>
    <row r="93" spans="1:18" x14ac:dyDescent="0.2">
      <c r="A93" s="5">
        <v>43472</v>
      </c>
      <c r="B93" s="11">
        <v>804</v>
      </c>
      <c r="C93" s="11">
        <v>76</v>
      </c>
      <c r="D93" s="11">
        <v>880</v>
      </c>
      <c r="F93" s="5">
        <v>44203</v>
      </c>
      <c r="G93" s="11">
        <v>635</v>
      </c>
      <c r="H93" s="11">
        <v>64</v>
      </c>
      <c r="I93" s="11">
        <v>699</v>
      </c>
      <c r="K93" s="5">
        <v>43475</v>
      </c>
      <c r="L93" s="5">
        <v>44203</v>
      </c>
      <c r="M93" s="11">
        <v>36</v>
      </c>
      <c r="N93" s="11">
        <v>-34</v>
      </c>
      <c r="O93" s="11">
        <v>2</v>
      </c>
      <c r="P93" s="8">
        <v>6.0100166944908162E-2</v>
      </c>
      <c r="Q93" s="8">
        <v>-0.34693877551020413</v>
      </c>
      <c r="R93" s="12">
        <v>2.8694404591105283E-3</v>
      </c>
    </row>
    <row r="94" spans="1:18" x14ac:dyDescent="0.2">
      <c r="A94" s="5">
        <v>43473</v>
      </c>
      <c r="B94" s="11">
        <v>588</v>
      </c>
      <c r="C94" s="11">
        <v>66</v>
      </c>
      <c r="D94" s="11">
        <v>654</v>
      </c>
      <c r="F94" s="5">
        <v>44204</v>
      </c>
      <c r="G94" s="11">
        <v>717</v>
      </c>
      <c r="H94" s="11">
        <v>55</v>
      </c>
      <c r="I94" s="11">
        <v>772</v>
      </c>
      <c r="K94" s="5">
        <v>43476</v>
      </c>
      <c r="L94" s="5">
        <v>44204</v>
      </c>
      <c r="M94" s="11">
        <v>-105</v>
      </c>
      <c r="N94" s="11">
        <v>-28</v>
      </c>
      <c r="O94" s="11">
        <v>-133</v>
      </c>
      <c r="P94" s="8">
        <v>-0.12773722627737227</v>
      </c>
      <c r="Q94" s="8">
        <v>-0.33734939759036142</v>
      </c>
      <c r="R94" s="12">
        <v>-0.14696132596685085</v>
      </c>
    </row>
    <row r="95" spans="1:18" x14ac:dyDescent="0.2">
      <c r="A95" s="5">
        <v>43474</v>
      </c>
      <c r="B95" s="11">
        <v>402</v>
      </c>
      <c r="C95" s="11">
        <v>34</v>
      </c>
      <c r="D95" s="11">
        <v>436</v>
      </c>
      <c r="F95" s="5">
        <v>44205</v>
      </c>
      <c r="G95" s="11">
        <v>737</v>
      </c>
      <c r="H95" s="11">
        <v>19</v>
      </c>
      <c r="I95" s="11">
        <v>756</v>
      </c>
      <c r="K95" s="5">
        <v>43477</v>
      </c>
      <c r="L95" s="5">
        <v>44205</v>
      </c>
      <c r="M95" s="11">
        <v>110</v>
      </c>
      <c r="N95" s="11">
        <v>-10</v>
      </c>
      <c r="O95" s="11">
        <v>100</v>
      </c>
      <c r="P95" s="8">
        <v>0.17543859649122817</v>
      </c>
      <c r="Q95" s="8">
        <v>-0.34482758620689657</v>
      </c>
      <c r="R95" s="12">
        <v>0.15243902439024382</v>
      </c>
    </row>
    <row r="96" spans="1:18" x14ac:dyDescent="0.2">
      <c r="A96" s="5">
        <v>43475</v>
      </c>
      <c r="B96" s="11">
        <v>599</v>
      </c>
      <c r="C96" s="11">
        <v>98</v>
      </c>
      <c r="D96" s="11">
        <v>697</v>
      </c>
      <c r="F96" s="5">
        <v>44206</v>
      </c>
      <c r="G96" s="11">
        <v>995</v>
      </c>
      <c r="H96" s="11">
        <v>2</v>
      </c>
      <c r="I96" s="11">
        <v>997</v>
      </c>
      <c r="K96" s="5">
        <v>43478</v>
      </c>
      <c r="L96" s="5">
        <v>44206</v>
      </c>
      <c r="M96" s="11">
        <v>364</v>
      </c>
      <c r="N96" s="11">
        <v>-24</v>
      </c>
      <c r="O96" s="11">
        <v>340</v>
      </c>
      <c r="P96" s="8">
        <v>0.57686212361331224</v>
      </c>
      <c r="Q96" s="8">
        <v>-0.92307692307692313</v>
      </c>
      <c r="R96" s="12">
        <v>0.51750380517503802</v>
      </c>
    </row>
    <row r="97" spans="1:18" x14ac:dyDescent="0.2">
      <c r="A97" s="5">
        <v>43476</v>
      </c>
      <c r="B97" s="11">
        <v>822</v>
      </c>
      <c r="C97" s="11">
        <v>83</v>
      </c>
      <c r="D97" s="11">
        <v>905</v>
      </c>
      <c r="F97" s="5">
        <v>44207</v>
      </c>
      <c r="G97" s="11">
        <v>618</v>
      </c>
      <c r="H97" s="11">
        <v>111</v>
      </c>
      <c r="I97" s="11">
        <v>729</v>
      </c>
      <c r="K97" s="5">
        <v>43479</v>
      </c>
      <c r="L97" s="5">
        <v>44207</v>
      </c>
      <c r="M97" s="11">
        <v>153</v>
      </c>
      <c r="N97" s="11">
        <v>80</v>
      </c>
      <c r="O97" s="11">
        <v>233</v>
      </c>
      <c r="P97" s="8">
        <v>0.32903225806451619</v>
      </c>
      <c r="Q97" s="8">
        <v>2.5806451612903225</v>
      </c>
      <c r="R97" s="12">
        <v>0.469758064516129</v>
      </c>
    </row>
    <row r="98" spans="1:18" x14ac:dyDescent="0.2">
      <c r="A98" s="5">
        <v>43477</v>
      </c>
      <c r="B98" s="11">
        <v>627</v>
      </c>
      <c r="C98" s="11">
        <v>29</v>
      </c>
      <c r="D98" s="11">
        <v>656</v>
      </c>
      <c r="F98" s="5">
        <v>44208</v>
      </c>
      <c r="G98" s="11">
        <v>398</v>
      </c>
      <c r="H98" s="11">
        <v>75</v>
      </c>
      <c r="I98" s="11">
        <v>473</v>
      </c>
      <c r="K98" s="5">
        <v>43480</v>
      </c>
      <c r="L98" s="5">
        <v>44208</v>
      </c>
      <c r="M98" s="11">
        <v>-176</v>
      </c>
      <c r="N98" s="11">
        <v>-41</v>
      </c>
      <c r="O98" s="11">
        <v>-217</v>
      </c>
      <c r="P98" s="8">
        <v>-0.30662020905923348</v>
      </c>
      <c r="Q98" s="8">
        <v>-0.35344827586206895</v>
      </c>
      <c r="R98" s="12">
        <v>-0.3144927536231884</v>
      </c>
    </row>
    <row r="99" spans="1:18" x14ac:dyDescent="0.2">
      <c r="A99" s="5">
        <v>43478</v>
      </c>
      <c r="B99" s="11">
        <v>631</v>
      </c>
      <c r="C99" s="11">
        <v>26</v>
      </c>
      <c r="D99" s="11">
        <v>657</v>
      </c>
      <c r="F99" s="5">
        <v>44209</v>
      </c>
      <c r="G99" s="11">
        <v>315</v>
      </c>
      <c r="H99" s="11">
        <v>20</v>
      </c>
      <c r="I99" s="11">
        <v>335</v>
      </c>
      <c r="K99" s="5">
        <v>43481</v>
      </c>
      <c r="L99" s="5">
        <v>44209</v>
      </c>
      <c r="M99" s="11">
        <v>-282</v>
      </c>
      <c r="N99" s="11">
        <v>-107</v>
      </c>
      <c r="O99" s="11">
        <v>-389</v>
      </c>
      <c r="P99" s="8">
        <v>-0.47236180904522618</v>
      </c>
      <c r="Q99" s="8">
        <v>-0.84251968503937014</v>
      </c>
      <c r="R99" s="12">
        <v>-0.53729281767955794</v>
      </c>
    </row>
    <row r="100" spans="1:18" x14ac:dyDescent="0.2">
      <c r="A100" s="5">
        <v>43479</v>
      </c>
      <c r="B100" s="11">
        <v>465</v>
      </c>
      <c r="C100" s="11">
        <v>31</v>
      </c>
      <c r="D100" s="11">
        <v>496</v>
      </c>
      <c r="F100" s="5">
        <v>44210</v>
      </c>
      <c r="G100" s="11">
        <v>286</v>
      </c>
      <c r="H100" s="11">
        <v>33</v>
      </c>
      <c r="I100" s="11">
        <v>319</v>
      </c>
      <c r="K100" s="5">
        <v>43482</v>
      </c>
      <c r="L100" s="5">
        <v>44210</v>
      </c>
      <c r="M100" s="11">
        <v>-261</v>
      </c>
      <c r="N100" s="11">
        <v>-64</v>
      </c>
      <c r="O100" s="11">
        <v>-325</v>
      </c>
      <c r="P100" s="8">
        <v>-0.47714808043875689</v>
      </c>
      <c r="Q100" s="8">
        <v>-0.65979381443298968</v>
      </c>
      <c r="R100" s="12">
        <v>-0.50465838509316763</v>
      </c>
    </row>
    <row r="101" spans="1:18" x14ac:dyDescent="0.2">
      <c r="A101" s="5">
        <v>43480</v>
      </c>
      <c r="B101" s="11">
        <v>574</v>
      </c>
      <c r="C101" s="11">
        <v>116</v>
      </c>
      <c r="D101" s="11">
        <v>690</v>
      </c>
      <c r="F101" s="5">
        <v>44211</v>
      </c>
      <c r="G101" s="11">
        <v>427</v>
      </c>
      <c r="H101" s="11">
        <v>70</v>
      </c>
      <c r="I101" s="11">
        <v>497</v>
      </c>
      <c r="K101" s="5">
        <v>43483</v>
      </c>
      <c r="L101" s="5">
        <v>44211</v>
      </c>
      <c r="M101" s="11">
        <v>-357</v>
      </c>
      <c r="N101" s="11">
        <v>-11</v>
      </c>
      <c r="O101" s="11">
        <v>-368</v>
      </c>
      <c r="P101" s="8">
        <v>-0.4553571428571429</v>
      </c>
      <c r="Q101" s="8">
        <v>-0.13580246913580252</v>
      </c>
      <c r="R101" s="12">
        <v>-0.4254335260115607</v>
      </c>
    </row>
    <row r="102" spans="1:18" x14ac:dyDescent="0.2">
      <c r="A102" s="5">
        <v>43481</v>
      </c>
      <c r="B102" s="11">
        <v>597</v>
      </c>
      <c r="C102" s="11">
        <v>127</v>
      </c>
      <c r="D102" s="11">
        <v>724</v>
      </c>
      <c r="F102" s="5">
        <v>44212</v>
      </c>
      <c r="G102" s="11">
        <v>564</v>
      </c>
      <c r="H102" s="11">
        <v>21</v>
      </c>
      <c r="I102" s="11">
        <v>585</v>
      </c>
      <c r="K102" s="5">
        <v>43484</v>
      </c>
      <c r="L102" s="5">
        <v>44212</v>
      </c>
      <c r="M102" s="11">
        <v>-287</v>
      </c>
      <c r="N102" s="11">
        <v>1</v>
      </c>
      <c r="O102" s="11">
        <v>-286</v>
      </c>
      <c r="P102" s="8">
        <v>-0.33725029377203286</v>
      </c>
      <c r="Q102" s="8">
        <v>5.0000000000000044E-2</v>
      </c>
      <c r="R102" s="12">
        <v>-0.32835820895522383</v>
      </c>
    </row>
    <row r="103" spans="1:18" x14ac:dyDescent="0.2">
      <c r="A103" s="5">
        <v>43482</v>
      </c>
      <c r="B103" s="11">
        <v>547</v>
      </c>
      <c r="C103" s="11">
        <v>97</v>
      </c>
      <c r="D103" s="11">
        <v>644</v>
      </c>
      <c r="F103" s="5">
        <v>44213</v>
      </c>
      <c r="G103" s="11">
        <v>456</v>
      </c>
      <c r="H103" s="11">
        <v>19</v>
      </c>
      <c r="I103" s="11">
        <v>475</v>
      </c>
      <c r="K103" s="5">
        <v>43485</v>
      </c>
      <c r="L103" s="5">
        <v>44213</v>
      </c>
      <c r="M103" s="11">
        <v>-687</v>
      </c>
      <c r="N103" s="11">
        <v>15</v>
      </c>
      <c r="O103" s="11">
        <v>-672</v>
      </c>
      <c r="P103" s="8">
        <v>-0.60104986876640421</v>
      </c>
      <c r="Q103" s="8">
        <v>3.75</v>
      </c>
      <c r="R103" s="12">
        <v>-0.58587619877942454</v>
      </c>
    </row>
    <row r="104" spans="1:18" x14ac:dyDescent="0.2">
      <c r="A104" s="5">
        <v>43483</v>
      </c>
      <c r="B104" s="11">
        <v>784</v>
      </c>
      <c r="C104" s="11">
        <v>81</v>
      </c>
      <c r="D104" s="11">
        <v>865</v>
      </c>
      <c r="F104" s="5">
        <v>44214</v>
      </c>
      <c r="G104" s="11">
        <v>525</v>
      </c>
      <c r="H104" s="11">
        <v>97</v>
      </c>
      <c r="I104" s="11">
        <v>622</v>
      </c>
      <c r="K104" s="5">
        <v>43486</v>
      </c>
      <c r="L104" s="5">
        <v>44214</v>
      </c>
      <c r="M104" s="11">
        <v>-141</v>
      </c>
      <c r="N104" s="11">
        <v>-39</v>
      </c>
      <c r="O104" s="11">
        <v>-180</v>
      </c>
      <c r="P104" s="8">
        <v>-0.21171171171171166</v>
      </c>
      <c r="Q104" s="8">
        <v>-0.28676470588235292</v>
      </c>
      <c r="R104" s="12">
        <v>-0.22443890274314215</v>
      </c>
    </row>
    <row r="105" spans="1:18" x14ac:dyDescent="0.2">
      <c r="A105" s="5">
        <v>43484</v>
      </c>
      <c r="B105" s="11">
        <v>851</v>
      </c>
      <c r="C105" s="11">
        <v>20</v>
      </c>
      <c r="D105" s="11">
        <v>871</v>
      </c>
      <c r="F105" s="5">
        <v>44215</v>
      </c>
      <c r="G105" s="11">
        <v>547</v>
      </c>
      <c r="H105" s="11">
        <v>132</v>
      </c>
      <c r="I105" s="11">
        <v>679</v>
      </c>
      <c r="K105" s="5">
        <v>43487</v>
      </c>
      <c r="L105" s="5">
        <v>44215</v>
      </c>
      <c r="M105" s="11">
        <v>-59</v>
      </c>
      <c r="N105" s="11">
        <v>9</v>
      </c>
      <c r="O105" s="11">
        <v>-50</v>
      </c>
      <c r="P105" s="8">
        <v>-9.7359735973597372E-2</v>
      </c>
      <c r="Q105" s="8">
        <v>7.3170731707317138E-2</v>
      </c>
      <c r="R105" s="12">
        <v>-6.8587105624142608E-2</v>
      </c>
    </row>
    <row r="106" spans="1:18" x14ac:dyDescent="0.2">
      <c r="A106" s="5">
        <v>43485</v>
      </c>
      <c r="B106" s="11">
        <v>1143</v>
      </c>
      <c r="C106" s="11">
        <v>4</v>
      </c>
      <c r="D106" s="11">
        <v>1147</v>
      </c>
      <c r="F106" s="5">
        <v>44216</v>
      </c>
      <c r="G106" s="11">
        <v>439</v>
      </c>
      <c r="H106" s="11">
        <v>136</v>
      </c>
      <c r="I106" s="11">
        <v>575</v>
      </c>
      <c r="K106" s="5">
        <v>43488</v>
      </c>
      <c r="L106" s="5">
        <v>44216</v>
      </c>
      <c r="M106" s="11">
        <v>-87</v>
      </c>
      <c r="N106" s="11">
        <v>8</v>
      </c>
      <c r="O106" s="11">
        <v>-79</v>
      </c>
      <c r="P106" s="8">
        <v>-0.16539923954372626</v>
      </c>
      <c r="Q106" s="8">
        <v>6.25E-2</v>
      </c>
      <c r="R106" s="12">
        <v>-0.12079510703363916</v>
      </c>
    </row>
    <row r="107" spans="1:18" x14ac:dyDescent="0.2">
      <c r="A107" s="5">
        <v>43486</v>
      </c>
      <c r="B107" s="11">
        <v>666</v>
      </c>
      <c r="C107" s="11">
        <v>136</v>
      </c>
      <c r="D107" s="11">
        <v>802</v>
      </c>
      <c r="F107" s="5">
        <v>44217</v>
      </c>
      <c r="G107" s="11">
        <v>397</v>
      </c>
      <c r="H107" s="11">
        <v>64</v>
      </c>
      <c r="I107" s="11">
        <v>461</v>
      </c>
      <c r="K107" s="5">
        <v>43489</v>
      </c>
      <c r="L107" s="5">
        <v>44217</v>
      </c>
      <c r="M107" s="11">
        <v>-241</v>
      </c>
      <c r="N107" s="11">
        <v>-64</v>
      </c>
      <c r="O107" s="11">
        <v>-305</v>
      </c>
      <c r="P107" s="8">
        <v>-0.37774294670846398</v>
      </c>
      <c r="Q107" s="8">
        <v>-0.5</v>
      </c>
      <c r="R107" s="12">
        <v>-0.39817232375979117</v>
      </c>
    </row>
    <row r="108" spans="1:18" x14ac:dyDescent="0.2">
      <c r="A108" s="5">
        <v>43487</v>
      </c>
      <c r="B108" s="11">
        <v>606</v>
      </c>
      <c r="C108" s="11">
        <v>123</v>
      </c>
      <c r="D108" s="11">
        <v>729</v>
      </c>
      <c r="F108" s="5">
        <v>44218</v>
      </c>
      <c r="G108" s="11">
        <v>457</v>
      </c>
      <c r="H108" s="11">
        <v>47</v>
      </c>
      <c r="I108" s="11">
        <v>504</v>
      </c>
      <c r="K108" s="5">
        <v>43490</v>
      </c>
      <c r="L108" s="5">
        <v>44218</v>
      </c>
      <c r="M108" s="11">
        <v>-358</v>
      </c>
      <c r="N108" s="11">
        <v>-48</v>
      </c>
      <c r="O108" s="11">
        <v>-406</v>
      </c>
      <c r="P108" s="8">
        <v>-0.43926380368098161</v>
      </c>
      <c r="Q108" s="8">
        <v>-0.50526315789473686</v>
      </c>
      <c r="R108" s="12">
        <v>-0.44615384615384612</v>
      </c>
    </row>
    <row r="109" spans="1:18" x14ac:dyDescent="0.2">
      <c r="A109" s="5">
        <v>43488</v>
      </c>
      <c r="B109" s="11">
        <v>526</v>
      </c>
      <c r="C109" s="11">
        <v>128</v>
      </c>
      <c r="D109" s="11">
        <v>654</v>
      </c>
      <c r="F109" s="5">
        <v>44219</v>
      </c>
      <c r="G109" s="11">
        <v>420</v>
      </c>
      <c r="H109" s="11">
        <v>35</v>
      </c>
      <c r="I109" s="11">
        <v>455</v>
      </c>
      <c r="K109" s="5">
        <v>43491</v>
      </c>
      <c r="L109" s="5">
        <v>44219</v>
      </c>
      <c r="M109" s="11">
        <v>-504</v>
      </c>
      <c r="N109" s="11">
        <v>16</v>
      </c>
      <c r="O109" s="11">
        <v>-488</v>
      </c>
      <c r="P109" s="8">
        <v>-0.54545454545454541</v>
      </c>
      <c r="Q109" s="8">
        <v>0.84210526315789469</v>
      </c>
      <c r="R109" s="12">
        <v>-0.51749734888653243</v>
      </c>
    </row>
    <row r="110" spans="1:18" x14ac:dyDescent="0.2">
      <c r="A110" s="5">
        <v>43489</v>
      </c>
      <c r="B110" s="11">
        <v>638</v>
      </c>
      <c r="C110" s="11">
        <v>128</v>
      </c>
      <c r="D110" s="11">
        <v>766</v>
      </c>
      <c r="F110" s="5">
        <v>44220</v>
      </c>
      <c r="G110" s="11">
        <v>701</v>
      </c>
      <c r="H110" s="11">
        <v>3</v>
      </c>
      <c r="I110" s="11">
        <v>704</v>
      </c>
      <c r="K110" s="5">
        <v>43492</v>
      </c>
      <c r="L110" s="5">
        <v>44220</v>
      </c>
      <c r="M110" s="11">
        <v>-230</v>
      </c>
      <c r="N110" s="11">
        <v>-10</v>
      </c>
      <c r="O110" s="11">
        <v>-240</v>
      </c>
      <c r="P110" s="8">
        <v>-0.24704618689581093</v>
      </c>
      <c r="Q110" s="8">
        <v>-0.76923076923076916</v>
      </c>
      <c r="R110" s="12">
        <v>-0.25423728813559321</v>
      </c>
    </row>
    <row r="111" spans="1:18" x14ac:dyDescent="0.2">
      <c r="A111" s="5">
        <v>43490</v>
      </c>
      <c r="B111" s="11">
        <v>815</v>
      </c>
      <c r="C111" s="11">
        <v>95</v>
      </c>
      <c r="D111" s="11">
        <v>910</v>
      </c>
      <c r="F111" s="5">
        <v>44221</v>
      </c>
      <c r="G111" s="11">
        <v>450</v>
      </c>
      <c r="H111" s="11">
        <v>41</v>
      </c>
      <c r="I111" s="11">
        <v>491</v>
      </c>
      <c r="K111" s="5">
        <v>43493</v>
      </c>
      <c r="L111" s="5">
        <v>44221</v>
      </c>
      <c r="M111" s="11">
        <f t="shared" ref="M111:M113" si="16">G111-B114</f>
        <v>-91</v>
      </c>
      <c r="N111" s="11">
        <f t="shared" ref="N111:N113" si="17">H111-C114</f>
        <v>-91</v>
      </c>
      <c r="O111" s="11">
        <f t="shared" ref="O111:O113" si="18">I111-D114</f>
        <v>-182</v>
      </c>
      <c r="P111" s="8">
        <f t="shared" ref="P111:P113" si="19">G111/B114-1</f>
        <v>-0.16820702402957488</v>
      </c>
      <c r="Q111" s="8">
        <f t="shared" ref="Q111:Q113" si="20">H111/C114-1</f>
        <v>-0.68939393939393945</v>
      </c>
      <c r="R111" s="12">
        <f t="shared" ref="R111:R113" si="21">I111/D114-1</f>
        <v>-0.27043090638930167</v>
      </c>
    </row>
    <row r="112" spans="1:18" x14ac:dyDescent="0.2">
      <c r="A112" s="5">
        <v>43491</v>
      </c>
      <c r="B112" s="11">
        <v>924</v>
      </c>
      <c r="C112" s="11">
        <v>19</v>
      </c>
      <c r="D112" s="11">
        <v>943</v>
      </c>
      <c r="F112" s="5">
        <v>44222</v>
      </c>
      <c r="G112" s="11">
        <v>489</v>
      </c>
      <c r="H112" s="11">
        <v>131</v>
      </c>
      <c r="I112" s="11">
        <v>620</v>
      </c>
      <c r="K112" s="5">
        <v>43494</v>
      </c>
      <c r="L112" s="5">
        <v>44222</v>
      </c>
      <c r="M112" s="11">
        <f t="shared" si="16"/>
        <v>-34</v>
      </c>
      <c r="N112" s="11">
        <f t="shared" si="17"/>
        <v>-12</v>
      </c>
      <c r="O112" s="11">
        <f t="shared" si="18"/>
        <v>-46</v>
      </c>
      <c r="P112" s="8">
        <f t="shared" si="19"/>
        <v>-6.5009560229445484E-2</v>
      </c>
      <c r="Q112" s="8">
        <f t="shared" si="20"/>
        <v>-8.3916083916083961E-2</v>
      </c>
      <c r="R112" s="12">
        <f t="shared" si="21"/>
        <v>-6.9069069069069067E-2</v>
      </c>
    </row>
    <row r="113" spans="1:18" x14ac:dyDescent="0.2">
      <c r="A113" s="5">
        <v>43492</v>
      </c>
      <c r="B113" s="11">
        <v>931</v>
      </c>
      <c r="C113" s="11">
        <v>13</v>
      </c>
      <c r="D113" s="11">
        <v>944</v>
      </c>
      <c r="F113" s="5">
        <v>44223</v>
      </c>
      <c r="G113" s="11">
        <v>338</v>
      </c>
      <c r="H113" s="11">
        <v>42</v>
      </c>
      <c r="I113" s="11">
        <v>380</v>
      </c>
      <c r="K113" s="5">
        <v>43495</v>
      </c>
      <c r="L113" s="5">
        <v>44223</v>
      </c>
      <c r="M113" s="11">
        <f t="shared" si="16"/>
        <v>-102</v>
      </c>
      <c r="N113" s="11">
        <f t="shared" si="17"/>
        <v>-56</v>
      </c>
      <c r="O113" s="11">
        <f t="shared" si="18"/>
        <v>-158</v>
      </c>
      <c r="P113" s="8">
        <f t="shared" si="19"/>
        <v>-0.23181818181818181</v>
      </c>
      <c r="Q113" s="8">
        <f t="shared" si="20"/>
        <v>-0.5714285714285714</v>
      </c>
      <c r="R113" s="12">
        <f t="shared" si="21"/>
        <v>-0.29368029739776946</v>
      </c>
    </row>
    <row r="114" spans="1:18" x14ac:dyDescent="0.2">
      <c r="A114" s="5">
        <v>43493</v>
      </c>
      <c r="B114" s="11">
        <v>541</v>
      </c>
      <c r="C114" s="11">
        <v>132</v>
      </c>
      <c r="D114" s="11">
        <v>673</v>
      </c>
      <c r="F114" s="5">
        <v>44224</v>
      </c>
      <c r="G114" s="11">
        <v>319</v>
      </c>
      <c r="H114" s="11">
        <v>40</v>
      </c>
      <c r="I114" s="11">
        <v>359</v>
      </c>
      <c r="K114" s="5">
        <v>43496</v>
      </c>
      <c r="L114" s="5">
        <v>44224</v>
      </c>
      <c r="M114" s="11">
        <f t="shared" ref="M114:M117" si="22">G114-B117</f>
        <v>-255</v>
      </c>
      <c r="N114" s="11">
        <f t="shared" ref="N114:N117" si="23">H114-C117</f>
        <v>-76</v>
      </c>
      <c r="O114" s="11">
        <f t="shared" ref="O114:O117" si="24">I114-D117</f>
        <v>-331</v>
      </c>
      <c r="P114" s="8">
        <f t="shared" ref="P114:P117" si="25">G114/B117-1</f>
        <v>-0.44425087108013939</v>
      </c>
      <c r="Q114" s="8">
        <f t="shared" ref="Q114:Q117" si="26">H114/C117-1</f>
        <v>-0.65517241379310343</v>
      </c>
      <c r="R114" s="12">
        <f t="shared" ref="R114:R117" si="27">I114/D117-1</f>
        <v>-0.47971014492753628</v>
      </c>
    </row>
    <row r="115" spans="1:18" x14ac:dyDescent="0.2">
      <c r="A115" s="5">
        <v>43494</v>
      </c>
      <c r="B115" s="11">
        <v>523</v>
      </c>
      <c r="C115" s="11">
        <v>143</v>
      </c>
      <c r="D115" s="11">
        <v>666</v>
      </c>
      <c r="F115" s="5">
        <v>44225</v>
      </c>
      <c r="G115" s="11">
        <v>364</v>
      </c>
      <c r="H115" s="11">
        <v>32</v>
      </c>
      <c r="I115" s="11">
        <v>396</v>
      </c>
      <c r="K115" s="5">
        <v>43497</v>
      </c>
      <c r="L115" s="5">
        <v>44225</v>
      </c>
      <c r="M115" s="11">
        <f t="shared" si="22"/>
        <v>-53</v>
      </c>
      <c r="N115" s="11">
        <f t="shared" si="23"/>
        <v>-3</v>
      </c>
      <c r="O115" s="11">
        <f t="shared" si="24"/>
        <v>-56</v>
      </c>
      <c r="P115" s="8">
        <f t="shared" si="25"/>
        <v>-0.12709832134292565</v>
      </c>
      <c r="Q115" s="8">
        <f t="shared" si="26"/>
        <v>-8.5714285714285743E-2</v>
      </c>
      <c r="R115" s="12">
        <f t="shared" si="27"/>
        <v>-0.12389380530973448</v>
      </c>
    </row>
    <row r="116" spans="1:18" x14ac:dyDescent="0.2">
      <c r="A116" s="5">
        <v>43495</v>
      </c>
      <c r="B116" s="11">
        <v>440</v>
      </c>
      <c r="C116" s="11">
        <v>98</v>
      </c>
      <c r="D116" s="11">
        <v>538</v>
      </c>
      <c r="F116" s="5">
        <v>44226</v>
      </c>
      <c r="G116" s="11">
        <v>334</v>
      </c>
      <c r="H116" s="11">
        <v>56</v>
      </c>
      <c r="I116" s="11">
        <v>390</v>
      </c>
      <c r="K116" s="5">
        <v>43498</v>
      </c>
      <c r="L116" s="5">
        <v>44226</v>
      </c>
      <c r="M116" s="11">
        <f t="shared" si="22"/>
        <v>-362</v>
      </c>
      <c r="N116" s="11">
        <f t="shared" si="23"/>
        <v>27</v>
      </c>
      <c r="O116" s="11">
        <f t="shared" si="24"/>
        <v>-335</v>
      </c>
      <c r="P116" s="8">
        <f t="shared" si="25"/>
        <v>-0.52011494252873569</v>
      </c>
      <c r="Q116" s="8">
        <f t="shared" si="26"/>
        <v>0.93103448275862077</v>
      </c>
      <c r="R116" s="12">
        <f t="shared" si="27"/>
        <v>-0.46206896551724141</v>
      </c>
    </row>
    <row r="117" spans="1:18" x14ac:dyDescent="0.2">
      <c r="A117" s="5">
        <v>43496</v>
      </c>
      <c r="B117" s="11">
        <v>574</v>
      </c>
      <c r="C117" s="11">
        <v>116</v>
      </c>
      <c r="D117" s="11">
        <v>690</v>
      </c>
      <c r="F117" s="5">
        <v>44227</v>
      </c>
      <c r="G117" s="11">
        <v>606</v>
      </c>
      <c r="H117" s="11">
        <v>9</v>
      </c>
      <c r="I117" s="11">
        <v>615</v>
      </c>
      <c r="K117" s="5">
        <v>43499</v>
      </c>
      <c r="L117" s="5">
        <v>44227</v>
      </c>
      <c r="M117" s="11">
        <f t="shared" si="22"/>
        <v>-264</v>
      </c>
      <c r="N117" s="11">
        <f t="shared" si="23"/>
        <v>-6</v>
      </c>
      <c r="O117" s="11">
        <f t="shared" si="24"/>
        <v>-270</v>
      </c>
      <c r="P117" s="8">
        <f t="shared" si="25"/>
        <v>-0.30344827586206902</v>
      </c>
      <c r="Q117" s="8">
        <f t="shared" si="26"/>
        <v>-0.4</v>
      </c>
      <c r="R117" s="12">
        <f t="shared" si="27"/>
        <v>-0.30508474576271183</v>
      </c>
    </row>
    <row r="118" spans="1:18" x14ac:dyDescent="0.2">
      <c r="A118" s="5">
        <v>43497</v>
      </c>
      <c r="B118" s="11">
        <v>417</v>
      </c>
      <c r="C118" s="11">
        <v>35</v>
      </c>
      <c r="D118" s="11">
        <v>452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2">
      <c r="A119" s="5">
        <v>43498</v>
      </c>
      <c r="B119" s="11">
        <v>696</v>
      </c>
      <c r="C119" s="11">
        <v>29</v>
      </c>
      <c r="D119" s="11">
        <v>725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2">
      <c r="A120" s="5">
        <v>43499</v>
      </c>
      <c r="B120" s="11">
        <v>870</v>
      </c>
      <c r="C120" s="11">
        <v>15</v>
      </c>
      <c r="D120" s="11">
        <v>885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R120"/>
  <sheetViews>
    <sheetView zoomScale="70" zoomScaleNormal="70" workbookViewId="0"/>
  </sheetViews>
  <sheetFormatPr baseColWidth="10" defaultRowHeight="12.75" x14ac:dyDescent="0.2"/>
  <cols>
    <col min="1" max="1" width="29.42578125" customWidth="1"/>
    <col min="2" max="2" width="12.85546875" bestFit="1" customWidth="1"/>
    <col min="3" max="3" width="7.42578125" bestFit="1" customWidth="1"/>
    <col min="4" max="4" width="15.85546875" bestFit="1" customWidth="1"/>
    <col min="5" max="5" width="1.140625" customWidth="1"/>
    <col min="6" max="6" width="30" customWidth="1"/>
    <col min="7" max="7" width="12.85546875" bestFit="1" customWidth="1"/>
    <col min="8" max="8" width="7.42578125" bestFit="1" customWidth="1"/>
    <col min="9" max="9" width="15.85546875" bestFit="1" customWidth="1"/>
    <col min="10" max="10" width="0.85546875" customWidth="1"/>
    <col min="11" max="11" width="29.42578125" customWidth="1"/>
    <col min="12" max="12" width="29.5703125" customWidth="1"/>
    <col min="13" max="13" width="12.85546875" bestFit="1" customWidth="1"/>
    <col min="14" max="14" width="7.42578125" bestFit="1" customWidth="1"/>
    <col min="15" max="15" width="15.85546875" bestFit="1" customWidth="1"/>
    <col min="16" max="16" width="12.85546875" bestFit="1" customWidth="1"/>
    <col min="17" max="17" width="7.140625" bestFit="1" customWidth="1"/>
    <col min="18" max="18" width="15.85546875" style="9" bestFit="1" customWidth="1"/>
  </cols>
  <sheetData>
    <row r="1" spans="1:18" ht="15.75" x14ac:dyDescent="0.25">
      <c r="A1" s="10" t="s">
        <v>51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1" t="s">
        <v>47</v>
      </c>
      <c r="B6" s="22"/>
      <c r="C6" s="22"/>
      <c r="D6" s="22"/>
      <c r="E6" s="17"/>
      <c r="F6" s="17"/>
      <c r="G6" s="17"/>
    </row>
    <row r="7" spans="1:18" ht="15" x14ac:dyDescent="0.2">
      <c r="A7" s="21" t="s">
        <v>48</v>
      </c>
      <c r="B7" s="22"/>
      <c r="C7" s="22"/>
    </row>
    <row r="9" spans="1:18" ht="12.95" customHeight="1" x14ac:dyDescent="0.2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5" customHeight="1" x14ac:dyDescent="0.2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">
      <c r="A11" s="5">
        <v>43466</v>
      </c>
      <c r="B11" s="11">
        <v>15443</v>
      </c>
      <c r="C11" s="11">
        <v>208</v>
      </c>
      <c r="D11" s="11">
        <v>15651</v>
      </c>
      <c r="F11" s="5">
        <v>44197</v>
      </c>
      <c r="G11" s="11">
        <v>5457</v>
      </c>
      <c r="H11" s="11">
        <v>66</v>
      </c>
      <c r="I11" s="11">
        <v>5523</v>
      </c>
      <c r="K11" s="5">
        <v>43469</v>
      </c>
      <c r="L11" s="5">
        <v>44197</v>
      </c>
      <c r="M11" s="11">
        <v>-10888</v>
      </c>
      <c r="N11" s="11">
        <v>-1443</v>
      </c>
      <c r="O11" s="11">
        <v>-12331</v>
      </c>
      <c r="P11" s="8">
        <v>-0.66613643315998772</v>
      </c>
      <c r="Q11" s="8">
        <v>-0.9562624254473161</v>
      </c>
      <c r="R11" s="12">
        <v>-0.69065755572980847</v>
      </c>
    </row>
    <row r="12" spans="1:18" x14ac:dyDescent="0.2">
      <c r="A12" s="5">
        <v>43467</v>
      </c>
      <c r="B12" s="11">
        <v>18407</v>
      </c>
      <c r="C12" s="11">
        <v>904</v>
      </c>
      <c r="D12" s="11">
        <v>19311</v>
      </c>
      <c r="F12" s="5">
        <v>44198</v>
      </c>
      <c r="G12" s="11">
        <v>9314</v>
      </c>
      <c r="H12" s="11">
        <v>199</v>
      </c>
      <c r="I12" s="11">
        <v>9513</v>
      </c>
      <c r="K12" s="5">
        <v>43470</v>
      </c>
      <c r="L12" s="5">
        <v>44198</v>
      </c>
      <c r="M12" s="11">
        <v>-8610</v>
      </c>
      <c r="N12" s="11">
        <v>-762</v>
      </c>
      <c r="O12" s="11">
        <v>-9372</v>
      </c>
      <c r="P12" s="8">
        <v>-0.48036152644498997</v>
      </c>
      <c r="Q12" s="8">
        <v>-0.79292403746097817</v>
      </c>
      <c r="R12" s="12">
        <v>-0.49626687847498019</v>
      </c>
    </row>
    <row r="13" spans="1:18" x14ac:dyDescent="0.2">
      <c r="A13" s="5">
        <v>43468</v>
      </c>
      <c r="B13" s="11">
        <v>15295</v>
      </c>
      <c r="C13" s="11">
        <v>1579</v>
      </c>
      <c r="D13" s="11">
        <v>16874</v>
      </c>
      <c r="F13" s="5">
        <v>44199</v>
      </c>
      <c r="G13" s="11">
        <v>9483</v>
      </c>
      <c r="H13" s="11">
        <v>74</v>
      </c>
      <c r="I13" s="11">
        <v>9557</v>
      </c>
      <c r="K13" s="5">
        <v>43471</v>
      </c>
      <c r="L13" s="5">
        <v>44199</v>
      </c>
      <c r="M13" s="11">
        <v>-7433</v>
      </c>
      <c r="N13" s="11">
        <v>-141</v>
      </c>
      <c r="O13" s="11">
        <v>-7574</v>
      </c>
      <c r="P13" s="8">
        <v>-0.43940647907306696</v>
      </c>
      <c r="Q13" s="8">
        <v>-0.65581395348837201</v>
      </c>
      <c r="R13" s="12">
        <v>-0.44212246804039457</v>
      </c>
    </row>
    <row r="14" spans="1:18" x14ac:dyDescent="0.2">
      <c r="A14" s="5">
        <v>43469</v>
      </c>
      <c r="B14" s="11">
        <v>16345</v>
      </c>
      <c r="C14" s="11">
        <v>1509</v>
      </c>
      <c r="D14" s="11">
        <v>17854</v>
      </c>
      <c r="F14" s="5">
        <v>44200</v>
      </c>
      <c r="G14" s="11">
        <v>6582</v>
      </c>
      <c r="H14" s="11">
        <v>1340</v>
      </c>
      <c r="I14" s="11">
        <v>7922</v>
      </c>
      <c r="K14" s="5">
        <v>43472</v>
      </c>
      <c r="L14" s="5">
        <v>44200</v>
      </c>
      <c r="M14" s="11">
        <v>-2376</v>
      </c>
      <c r="N14" s="11">
        <v>-638</v>
      </c>
      <c r="O14" s="11">
        <v>-3014</v>
      </c>
      <c r="P14" s="8">
        <v>-0.2652377762893503</v>
      </c>
      <c r="Q14" s="8">
        <v>-0.32254802831142571</v>
      </c>
      <c r="R14" s="12">
        <v>-0.27560351133869787</v>
      </c>
    </row>
    <row r="15" spans="1:18" x14ac:dyDescent="0.2">
      <c r="A15" s="5">
        <v>43470</v>
      </c>
      <c r="B15" s="11">
        <v>17924</v>
      </c>
      <c r="C15" s="11">
        <v>961</v>
      </c>
      <c r="D15" s="11">
        <v>18885</v>
      </c>
      <c r="F15" s="5">
        <v>44201</v>
      </c>
      <c r="G15" s="11">
        <v>5459</v>
      </c>
      <c r="H15" s="11">
        <v>1668</v>
      </c>
      <c r="I15" s="11">
        <v>7127</v>
      </c>
      <c r="K15" s="5">
        <v>43473</v>
      </c>
      <c r="L15" s="5">
        <v>44201</v>
      </c>
      <c r="M15" s="11">
        <v>-1283</v>
      </c>
      <c r="N15" s="11">
        <v>-871</v>
      </c>
      <c r="O15" s="11">
        <v>-2154</v>
      </c>
      <c r="P15" s="8">
        <v>-0.19029961435775733</v>
      </c>
      <c r="Q15" s="8">
        <v>-0.3430484442693974</v>
      </c>
      <c r="R15" s="12">
        <v>-0.23208705958409659</v>
      </c>
    </row>
    <row r="16" spans="1:18" x14ac:dyDescent="0.2">
      <c r="A16" s="5">
        <v>43471</v>
      </c>
      <c r="B16" s="11">
        <v>16916</v>
      </c>
      <c r="C16" s="11">
        <v>215</v>
      </c>
      <c r="D16" s="11">
        <v>17131</v>
      </c>
      <c r="F16" s="5">
        <v>44202</v>
      </c>
      <c r="G16" s="11">
        <v>5027</v>
      </c>
      <c r="H16" s="11">
        <v>758</v>
      </c>
      <c r="I16" s="11">
        <v>5785</v>
      </c>
      <c r="K16" s="5">
        <v>43474</v>
      </c>
      <c r="L16" s="5">
        <v>44202</v>
      </c>
      <c r="M16" s="11">
        <v>-1125</v>
      </c>
      <c r="N16" s="11">
        <v>-2152</v>
      </c>
      <c r="O16" s="11">
        <v>-3277</v>
      </c>
      <c r="P16" s="8">
        <v>-0.18286736020806238</v>
      </c>
      <c r="Q16" s="8">
        <v>-0.73951890034364265</v>
      </c>
      <c r="R16" s="12">
        <v>-0.361619951445597</v>
      </c>
    </row>
    <row r="17" spans="1:18" x14ac:dyDescent="0.2">
      <c r="A17" s="5">
        <v>43472</v>
      </c>
      <c r="B17" s="11">
        <v>8958</v>
      </c>
      <c r="C17" s="11">
        <v>1978</v>
      </c>
      <c r="D17" s="11">
        <v>10936</v>
      </c>
      <c r="F17" s="5">
        <v>44203</v>
      </c>
      <c r="G17" s="11">
        <v>6697</v>
      </c>
      <c r="H17" s="11">
        <v>1926</v>
      </c>
      <c r="I17" s="11">
        <v>8623</v>
      </c>
      <c r="K17" s="5">
        <v>43475</v>
      </c>
      <c r="L17" s="5">
        <v>44203</v>
      </c>
      <c r="M17" s="11">
        <v>5</v>
      </c>
      <c r="N17" s="11">
        <v>-704</v>
      </c>
      <c r="O17" s="11">
        <v>-699</v>
      </c>
      <c r="P17" s="8">
        <v>7.4716078900172178E-4</v>
      </c>
      <c r="Q17" s="8">
        <v>-0.26768060836501906</v>
      </c>
      <c r="R17" s="12">
        <v>-7.498390903239649E-2</v>
      </c>
    </row>
    <row r="18" spans="1:18" x14ac:dyDescent="0.2">
      <c r="A18" s="5">
        <v>43473</v>
      </c>
      <c r="B18" s="11">
        <v>6742</v>
      </c>
      <c r="C18" s="11">
        <v>2539</v>
      </c>
      <c r="D18" s="11">
        <v>9281</v>
      </c>
      <c r="F18" s="5">
        <v>44204</v>
      </c>
      <c r="G18" s="11">
        <v>7714</v>
      </c>
      <c r="H18" s="11">
        <v>1927</v>
      </c>
      <c r="I18" s="11">
        <v>9641</v>
      </c>
      <c r="K18" s="5">
        <v>43476</v>
      </c>
      <c r="L18" s="5">
        <v>44204</v>
      </c>
      <c r="M18" s="11">
        <v>-1459</v>
      </c>
      <c r="N18" s="11">
        <v>-283</v>
      </c>
      <c r="O18" s="11">
        <v>-1742</v>
      </c>
      <c r="P18" s="8">
        <v>-0.15905374468549005</v>
      </c>
      <c r="Q18" s="8">
        <v>-0.12805429864253393</v>
      </c>
      <c r="R18" s="12">
        <v>-0.15303522797153646</v>
      </c>
    </row>
    <row r="19" spans="1:18" x14ac:dyDescent="0.2">
      <c r="A19" s="5">
        <v>43474</v>
      </c>
      <c r="B19" s="11">
        <v>6152</v>
      </c>
      <c r="C19" s="11">
        <v>2910</v>
      </c>
      <c r="D19" s="11">
        <v>9062</v>
      </c>
      <c r="F19" s="5">
        <v>44205</v>
      </c>
      <c r="G19" s="11">
        <v>8136</v>
      </c>
      <c r="H19" s="11">
        <v>1010</v>
      </c>
      <c r="I19" s="11">
        <v>9146</v>
      </c>
      <c r="K19" s="5">
        <v>43477</v>
      </c>
      <c r="L19" s="5">
        <v>44205</v>
      </c>
      <c r="M19" s="11">
        <v>-762</v>
      </c>
      <c r="N19" s="11">
        <v>-260</v>
      </c>
      <c r="O19" s="11">
        <v>-1022</v>
      </c>
      <c r="P19" s="8">
        <v>-8.5637221847606249E-2</v>
      </c>
      <c r="Q19" s="8">
        <v>-0.20472440944881887</v>
      </c>
      <c r="R19" s="12">
        <v>-0.10051140833988981</v>
      </c>
    </row>
    <row r="20" spans="1:18" x14ac:dyDescent="0.2">
      <c r="A20" s="5">
        <v>43475</v>
      </c>
      <c r="B20" s="11">
        <v>6692</v>
      </c>
      <c r="C20" s="11">
        <v>2630</v>
      </c>
      <c r="D20" s="11">
        <v>9322</v>
      </c>
      <c r="F20" s="5">
        <v>44206</v>
      </c>
      <c r="G20" s="11">
        <v>8952</v>
      </c>
      <c r="H20" s="11">
        <v>76</v>
      </c>
      <c r="I20" s="11">
        <v>9028</v>
      </c>
      <c r="K20" s="5">
        <v>43478</v>
      </c>
      <c r="L20" s="5">
        <v>44206</v>
      </c>
      <c r="M20" s="11">
        <v>-1170</v>
      </c>
      <c r="N20" s="11">
        <v>-93</v>
      </c>
      <c r="O20" s="11">
        <v>-1263</v>
      </c>
      <c r="P20" s="8">
        <v>-0.11558980438648492</v>
      </c>
      <c r="Q20" s="8">
        <v>-0.5502958579881656</v>
      </c>
      <c r="R20" s="12">
        <v>-0.12272859780390633</v>
      </c>
    </row>
    <row r="21" spans="1:18" x14ac:dyDescent="0.2">
      <c r="A21" s="5">
        <v>43476</v>
      </c>
      <c r="B21" s="11">
        <v>9173</v>
      </c>
      <c r="C21" s="11">
        <v>2210</v>
      </c>
      <c r="D21" s="11">
        <v>11383</v>
      </c>
      <c r="F21" s="5">
        <v>44207</v>
      </c>
      <c r="G21" s="11">
        <v>5933</v>
      </c>
      <c r="H21" s="11">
        <v>2177</v>
      </c>
      <c r="I21" s="11">
        <v>8110</v>
      </c>
      <c r="K21" s="5">
        <v>43479</v>
      </c>
      <c r="L21" s="5">
        <v>44207</v>
      </c>
      <c r="M21" s="11">
        <v>-1184</v>
      </c>
      <c r="N21" s="11">
        <v>-511</v>
      </c>
      <c r="O21" s="11">
        <v>-1695</v>
      </c>
      <c r="P21" s="8">
        <v>-0.1663622312772236</v>
      </c>
      <c r="Q21" s="8">
        <v>-0.19010416666666663</v>
      </c>
      <c r="R21" s="12">
        <v>-0.17287098419173896</v>
      </c>
    </row>
    <row r="22" spans="1:18" x14ac:dyDescent="0.2">
      <c r="A22" s="5">
        <v>43477</v>
      </c>
      <c r="B22" s="11">
        <v>8898</v>
      </c>
      <c r="C22" s="11">
        <v>1270</v>
      </c>
      <c r="D22" s="11">
        <v>10168</v>
      </c>
      <c r="F22" s="5">
        <v>44208</v>
      </c>
      <c r="G22" s="11">
        <v>4644</v>
      </c>
      <c r="H22" s="11">
        <v>2433</v>
      </c>
      <c r="I22" s="11">
        <v>7077</v>
      </c>
      <c r="K22" s="5">
        <v>43480</v>
      </c>
      <c r="L22" s="5">
        <v>44208</v>
      </c>
      <c r="M22" s="11">
        <v>-1786</v>
      </c>
      <c r="N22" s="11">
        <v>-497</v>
      </c>
      <c r="O22" s="11">
        <v>-2283</v>
      </c>
      <c r="P22" s="8">
        <v>-0.27776049766718502</v>
      </c>
      <c r="Q22" s="8">
        <v>-0.16962457337883963</v>
      </c>
      <c r="R22" s="12">
        <v>-0.24391025641025643</v>
      </c>
    </row>
    <row r="23" spans="1:18" x14ac:dyDescent="0.2">
      <c r="A23" s="5">
        <v>43478</v>
      </c>
      <c r="B23" s="11">
        <v>10122</v>
      </c>
      <c r="C23" s="11">
        <v>169</v>
      </c>
      <c r="D23" s="11">
        <v>10291</v>
      </c>
      <c r="F23" s="5">
        <v>44209</v>
      </c>
      <c r="G23" s="11">
        <v>4852</v>
      </c>
      <c r="H23" s="11">
        <v>3228</v>
      </c>
      <c r="I23" s="11">
        <v>8080</v>
      </c>
      <c r="K23" s="5">
        <v>43481</v>
      </c>
      <c r="L23" s="5">
        <v>44209</v>
      </c>
      <c r="M23" s="11">
        <v>-2195</v>
      </c>
      <c r="N23" s="11">
        <v>122</v>
      </c>
      <c r="O23" s="11">
        <v>-2073</v>
      </c>
      <c r="P23" s="8">
        <v>-0.31148006243791682</v>
      </c>
      <c r="Q23" s="8">
        <v>3.927881519639409E-2</v>
      </c>
      <c r="R23" s="12">
        <v>-0.20417610558455623</v>
      </c>
    </row>
    <row r="24" spans="1:18" x14ac:dyDescent="0.2">
      <c r="A24" s="5">
        <v>43479</v>
      </c>
      <c r="B24" s="11">
        <v>7117</v>
      </c>
      <c r="C24" s="11">
        <v>2688</v>
      </c>
      <c r="D24" s="11">
        <v>9805</v>
      </c>
      <c r="F24" s="5">
        <v>44210</v>
      </c>
      <c r="G24" s="11">
        <v>4816</v>
      </c>
      <c r="H24" s="11">
        <v>2202</v>
      </c>
      <c r="I24" s="11">
        <v>7018</v>
      </c>
      <c r="K24" s="5">
        <v>43482</v>
      </c>
      <c r="L24" s="5">
        <v>44210</v>
      </c>
      <c r="M24" s="11">
        <v>-2145</v>
      </c>
      <c r="N24" s="11">
        <v>-660</v>
      </c>
      <c r="O24" s="11">
        <v>-2805</v>
      </c>
      <c r="P24" s="8">
        <v>-0.3081453814107169</v>
      </c>
      <c r="Q24" s="8">
        <v>-0.23060796645702308</v>
      </c>
      <c r="R24" s="12">
        <v>-0.28555431131019038</v>
      </c>
    </row>
    <row r="25" spans="1:18" x14ac:dyDescent="0.2">
      <c r="A25" s="5">
        <v>43480</v>
      </c>
      <c r="B25" s="11">
        <v>6430</v>
      </c>
      <c r="C25" s="11">
        <v>2930</v>
      </c>
      <c r="D25" s="11">
        <v>9360</v>
      </c>
      <c r="F25" s="5">
        <v>44211</v>
      </c>
      <c r="G25" s="11">
        <v>5803</v>
      </c>
      <c r="H25" s="11">
        <v>2567</v>
      </c>
      <c r="I25" s="11">
        <v>8370</v>
      </c>
      <c r="K25" s="5">
        <v>43483</v>
      </c>
      <c r="L25" s="5">
        <v>44211</v>
      </c>
      <c r="M25" s="11">
        <v>-4129</v>
      </c>
      <c r="N25" s="11">
        <v>168</v>
      </c>
      <c r="O25" s="11">
        <v>-3961</v>
      </c>
      <c r="P25" s="8">
        <v>-0.41572694321385417</v>
      </c>
      <c r="Q25" s="8">
        <v>7.0029178824510208E-2</v>
      </c>
      <c r="R25" s="12">
        <v>-0.32122293406860758</v>
      </c>
    </row>
    <row r="26" spans="1:18" x14ac:dyDescent="0.2">
      <c r="A26" s="5">
        <v>43481</v>
      </c>
      <c r="B26" s="11">
        <v>7047</v>
      </c>
      <c r="C26" s="11">
        <v>3106</v>
      </c>
      <c r="D26" s="11">
        <v>10153</v>
      </c>
      <c r="F26" s="5">
        <v>44212</v>
      </c>
      <c r="G26" s="11">
        <v>6471</v>
      </c>
      <c r="H26" s="11">
        <v>1154</v>
      </c>
      <c r="I26" s="11">
        <v>7625</v>
      </c>
      <c r="K26" s="5">
        <v>43484</v>
      </c>
      <c r="L26" s="5">
        <v>44212</v>
      </c>
      <c r="M26" s="11">
        <v>-1707</v>
      </c>
      <c r="N26" s="11">
        <v>-159</v>
      </c>
      <c r="O26" s="11">
        <v>-1866</v>
      </c>
      <c r="P26" s="8">
        <v>-0.20873074101247246</v>
      </c>
      <c r="Q26" s="8">
        <v>-0.1210967250571211</v>
      </c>
      <c r="R26" s="12">
        <v>-0.19660731219049621</v>
      </c>
    </row>
    <row r="27" spans="1:18" x14ac:dyDescent="0.2">
      <c r="A27" s="5">
        <v>43482</v>
      </c>
      <c r="B27" s="11">
        <v>6961</v>
      </c>
      <c r="C27" s="11">
        <v>2862</v>
      </c>
      <c r="D27" s="11">
        <v>9823</v>
      </c>
      <c r="F27" s="5">
        <v>44213</v>
      </c>
      <c r="G27" s="11">
        <v>5673</v>
      </c>
      <c r="H27" s="11">
        <v>86</v>
      </c>
      <c r="I27" s="11">
        <v>5759</v>
      </c>
      <c r="K27" s="5">
        <v>43485</v>
      </c>
      <c r="L27" s="5">
        <v>44213</v>
      </c>
      <c r="M27" s="11">
        <v>-4545</v>
      </c>
      <c r="N27" s="11">
        <v>-104</v>
      </c>
      <c r="O27" s="11">
        <v>-4649</v>
      </c>
      <c r="P27" s="8">
        <v>-0.4448032883147387</v>
      </c>
      <c r="Q27" s="8">
        <v>-0.5473684210526315</v>
      </c>
      <c r="R27" s="12">
        <v>-0.44667563412759415</v>
      </c>
    </row>
    <row r="28" spans="1:18" x14ac:dyDescent="0.2">
      <c r="A28" s="5">
        <v>43483</v>
      </c>
      <c r="B28" s="11">
        <v>9932</v>
      </c>
      <c r="C28" s="11">
        <v>2399</v>
      </c>
      <c r="D28" s="11">
        <v>12331</v>
      </c>
      <c r="F28" s="5">
        <v>44214</v>
      </c>
      <c r="G28" s="11">
        <v>5035</v>
      </c>
      <c r="H28" s="11">
        <v>2150</v>
      </c>
      <c r="I28" s="11">
        <v>7185</v>
      </c>
      <c r="K28" s="5">
        <v>43486</v>
      </c>
      <c r="L28" s="5">
        <v>44214</v>
      </c>
      <c r="M28" s="11">
        <v>-2095</v>
      </c>
      <c r="N28" s="11">
        <v>-272</v>
      </c>
      <c r="O28" s="11">
        <v>-2367</v>
      </c>
      <c r="P28" s="8">
        <v>-0.29382889200561013</v>
      </c>
      <c r="Q28" s="8">
        <v>-0.11230388109000822</v>
      </c>
      <c r="R28" s="12">
        <v>-0.24780150753768848</v>
      </c>
    </row>
    <row r="29" spans="1:18" x14ac:dyDescent="0.2">
      <c r="A29" s="5">
        <v>43484</v>
      </c>
      <c r="B29" s="11">
        <v>8178</v>
      </c>
      <c r="C29" s="11">
        <v>1313</v>
      </c>
      <c r="D29" s="11">
        <v>9491</v>
      </c>
      <c r="F29" s="5">
        <v>44215</v>
      </c>
      <c r="G29" s="11">
        <v>4711</v>
      </c>
      <c r="H29" s="11">
        <v>3197</v>
      </c>
      <c r="I29" s="11">
        <v>7908</v>
      </c>
      <c r="K29" s="5">
        <v>43487</v>
      </c>
      <c r="L29" s="5">
        <v>44215</v>
      </c>
      <c r="M29" s="11">
        <v>-2342</v>
      </c>
      <c r="N29" s="11">
        <v>225</v>
      </c>
      <c r="O29" s="11">
        <v>-2117</v>
      </c>
      <c r="P29" s="8">
        <v>-0.33205728058981998</v>
      </c>
      <c r="Q29" s="8">
        <v>7.5706594885598832E-2</v>
      </c>
      <c r="R29" s="12">
        <v>-0.21117206982543646</v>
      </c>
    </row>
    <row r="30" spans="1:18" x14ac:dyDescent="0.2">
      <c r="A30" s="5">
        <v>43485</v>
      </c>
      <c r="B30" s="11">
        <v>10218</v>
      </c>
      <c r="C30" s="11">
        <v>190</v>
      </c>
      <c r="D30" s="11">
        <v>10408</v>
      </c>
      <c r="F30" s="5">
        <v>44216</v>
      </c>
      <c r="G30" s="11">
        <v>4888</v>
      </c>
      <c r="H30" s="11">
        <v>2938</v>
      </c>
      <c r="I30" s="11">
        <v>7826</v>
      </c>
      <c r="K30" s="5">
        <v>43488</v>
      </c>
      <c r="L30" s="5">
        <v>44216</v>
      </c>
      <c r="M30" s="11">
        <v>-1933</v>
      </c>
      <c r="N30" s="11">
        <v>-38</v>
      </c>
      <c r="O30" s="11">
        <v>-1971</v>
      </c>
      <c r="P30" s="8">
        <v>-0.28338953232663833</v>
      </c>
      <c r="Q30" s="8">
        <v>-1.2768817204301119E-2</v>
      </c>
      <c r="R30" s="12">
        <v>-0.20118403592936618</v>
      </c>
    </row>
    <row r="31" spans="1:18" x14ac:dyDescent="0.2">
      <c r="A31" s="5">
        <v>43486</v>
      </c>
      <c r="B31" s="11">
        <v>7130</v>
      </c>
      <c r="C31" s="11">
        <v>2422</v>
      </c>
      <c r="D31" s="11">
        <v>9552</v>
      </c>
      <c r="F31" s="5">
        <v>44217</v>
      </c>
      <c r="G31" s="11">
        <v>4805</v>
      </c>
      <c r="H31" s="11">
        <v>2950</v>
      </c>
      <c r="I31" s="11">
        <v>7755</v>
      </c>
      <c r="K31" s="5">
        <v>43489</v>
      </c>
      <c r="L31" s="5">
        <v>44217</v>
      </c>
      <c r="M31" s="11">
        <v>-2759</v>
      </c>
      <c r="N31" s="11">
        <v>72</v>
      </c>
      <c r="O31" s="11">
        <v>-2687</v>
      </c>
      <c r="P31" s="8">
        <v>-0.36475409836065575</v>
      </c>
      <c r="Q31" s="8">
        <v>2.5017373175816537E-2</v>
      </c>
      <c r="R31" s="12">
        <v>-0.25732618272361618</v>
      </c>
    </row>
    <row r="32" spans="1:18" x14ac:dyDescent="0.2">
      <c r="A32" s="5">
        <v>43487</v>
      </c>
      <c r="B32" s="11">
        <v>7053</v>
      </c>
      <c r="C32" s="11">
        <v>2972</v>
      </c>
      <c r="D32" s="11">
        <v>10025</v>
      </c>
      <c r="F32" s="5">
        <v>44218</v>
      </c>
      <c r="G32" s="11">
        <v>6924</v>
      </c>
      <c r="H32" s="11">
        <v>2386</v>
      </c>
      <c r="I32" s="11">
        <v>9310</v>
      </c>
      <c r="K32" s="5">
        <v>43490</v>
      </c>
      <c r="L32" s="5">
        <v>44218</v>
      </c>
      <c r="M32" s="11">
        <v>-3555</v>
      </c>
      <c r="N32" s="11">
        <v>40</v>
      </c>
      <c r="O32" s="11">
        <v>-3515</v>
      </c>
      <c r="P32" s="8">
        <v>-0.33924992842828516</v>
      </c>
      <c r="Q32" s="8">
        <v>1.7050298380221651E-2</v>
      </c>
      <c r="R32" s="12">
        <v>-0.27407407407407403</v>
      </c>
    </row>
    <row r="33" spans="1:18" x14ac:dyDescent="0.2">
      <c r="A33" s="5">
        <v>43488</v>
      </c>
      <c r="B33" s="11">
        <v>6821</v>
      </c>
      <c r="C33" s="11">
        <v>2976</v>
      </c>
      <c r="D33" s="11">
        <v>9797</v>
      </c>
      <c r="F33" s="5">
        <v>44219</v>
      </c>
      <c r="G33" s="11">
        <v>6189</v>
      </c>
      <c r="H33" s="11">
        <v>1184</v>
      </c>
      <c r="I33" s="11">
        <v>7373</v>
      </c>
      <c r="K33" s="5">
        <v>43491</v>
      </c>
      <c r="L33" s="5">
        <v>44219</v>
      </c>
      <c r="M33" s="11">
        <v>-4001</v>
      </c>
      <c r="N33" s="11">
        <v>-113</v>
      </c>
      <c r="O33" s="11">
        <v>-4114</v>
      </c>
      <c r="P33" s="8">
        <v>-0.392639842983317</v>
      </c>
      <c r="Q33" s="8">
        <v>-8.7124132613723981E-2</v>
      </c>
      <c r="R33" s="12">
        <v>-0.35814398885696874</v>
      </c>
    </row>
    <row r="34" spans="1:18" x14ac:dyDescent="0.2">
      <c r="A34" s="5">
        <v>43489</v>
      </c>
      <c r="B34" s="11">
        <v>7564</v>
      </c>
      <c r="C34" s="11">
        <v>2878</v>
      </c>
      <c r="D34" s="11">
        <v>10442</v>
      </c>
      <c r="F34" s="5">
        <v>44220</v>
      </c>
      <c r="G34" s="11">
        <v>7969</v>
      </c>
      <c r="H34" s="11">
        <v>79</v>
      </c>
      <c r="I34" s="11">
        <v>8048</v>
      </c>
      <c r="K34" s="5">
        <v>43492</v>
      </c>
      <c r="L34" s="5">
        <v>44220</v>
      </c>
      <c r="M34" s="11">
        <v>-3064</v>
      </c>
      <c r="N34" s="11">
        <v>-110</v>
      </c>
      <c r="O34" s="11">
        <v>-3174</v>
      </c>
      <c r="P34" s="8">
        <v>-0.27771231759267656</v>
      </c>
      <c r="Q34" s="8">
        <v>-0.58201058201058209</v>
      </c>
      <c r="R34" s="12">
        <v>-0.282837283906612</v>
      </c>
    </row>
    <row r="35" spans="1:18" x14ac:dyDescent="0.2">
      <c r="A35" s="5">
        <v>43490</v>
      </c>
      <c r="B35" s="11">
        <v>10479</v>
      </c>
      <c r="C35" s="11">
        <v>2346</v>
      </c>
      <c r="D35" s="11">
        <v>12825</v>
      </c>
      <c r="F35" s="5">
        <v>44221</v>
      </c>
      <c r="G35" s="11">
        <v>5159</v>
      </c>
      <c r="H35" s="11">
        <v>2444</v>
      </c>
      <c r="I35" s="11">
        <v>7603</v>
      </c>
      <c r="K35" s="5">
        <v>43493</v>
      </c>
      <c r="L35" s="5">
        <v>44221</v>
      </c>
      <c r="M35" s="11">
        <f>G35-B38</f>
        <v>-2081</v>
      </c>
      <c r="N35" s="11">
        <f t="shared" ref="N35:O41" si="0">H35-C38</f>
        <v>54</v>
      </c>
      <c r="O35" s="11">
        <f t="shared" si="0"/>
        <v>-2027</v>
      </c>
      <c r="P35" s="8">
        <f>G35/B38-1</f>
        <v>-0.2874309392265193</v>
      </c>
      <c r="Q35" s="8">
        <f t="shared" ref="Q35:R41" si="1">H35/C38-1</f>
        <v>2.2594142259414252E-2</v>
      </c>
      <c r="R35" s="12">
        <f t="shared" si="1"/>
        <v>-0.21048805815160954</v>
      </c>
    </row>
    <row r="36" spans="1:18" x14ac:dyDescent="0.2">
      <c r="A36" s="5">
        <v>43491</v>
      </c>
      <c r="B36" s="11">
        <v>10190</v>
      </c>
      <c r="C36" s="11">
        <v>1297</v>
      </c>
      <c r="D36" s="11">
        <v>11487</v>
      </c>
      <c r="F36" s="5">
        <v>44222</v>
      </c>
      <c r="G36" s="11">
        <v>5366</v>
      </c>
      <c r="H36" s="11">
        <v>2790</v>
      </c>
      <c r="I36" s="11">
        <v>8156</v>
      </c>
      <c r="K36" s="5">
        <v>43494</v>
      </c>
      <c r="L36" s="5">
        <v>44222</v>
      </c>
      <c r="M36" s="11">
        <f t="shared" ref="M36:M41" si="2">G36-B39</f>
        <v>-1596</v>
      </c>
      <c r="N36" s="11">
        <f t="shared" si="0"/>
        <v>-162</v>
      </c>
      <c r="O36" s="11">
        <f t="shared" si="0"/>
        <v>-1758</v>
      </c>
      <c r="P36" s="8">
        <f t="shared" ref="P36:P41" si="3">G36/B39-1</f>
        <v>-0.22924446997989079</v>
      </c>
      <c r="Q36" s="8">
        <f t="shared" si="1"/>
        <v>-5.4878048780487854E-2</v>
      </c>
      <c r="R36" s="12">
        <f t="shared" si="1"/>
        <v>-0.17732499495662701</v>
      </c>
    </row>
    <row r="37" spans="1:18" x14ac:dyDescent="0.2">
      <c r="A37" s="5">
        <v>43492</v>
      </c>
      <c r="B37" s="11">
        <v>11033</v>
      </c>
      <c r="C37" s="11">
        <v>189</v>
      </c>
      <c r="D37" s="11">
        <v>11222</v>
      </c>
      <c r="F37" s="5">
        <v>44223</v>
      </c>
      <c r="G37" s="11">
        <v>4705</v>
      </c>
      <c r="H37" s="11">
        <v>1809</v>
      </c>
      <c r="I37" s="11">
        <v>6514</v>
      </c>
      <c r="K37" s="5">
        <v>43495</v>
      </c>
      <c r="L37" s="5">
        <v>44223</v>
      </c>
      <c r="M37" s="11">
        <f t="shared" si="2"/>
        <v>-2032</v>
      </c>
      <c r="N37" s="11">
        <f t="shared" si="0"/>
        <v>-1152</v>
      </c>
      <c r="O37" s="11">
        <f t="shared" si="0"/>
        <v>-3184</v>
      </c>
      <c r="P37" s="8">
        <f t="shared" si="3"/>
        <v>-0.30161793082974619</v>
      </c>
      <c r="Q37" s="8">
        <f t="shared" si="1"/>
        <v>-0.38905775075987847</v>
      </c>
      <c r="R37" s="12">
        <f t="shared" si="1"/>
        <v>-0.32831511651886991</v>
      </c>
    </row>
    <row r="38" spans="1:18" x14ac:dyDescent="0.2">
      <c r="A38" s="5">
        <v>43493</v>
      </c>
      <c r="B38" s="11">
        <v>7240</v>
      </c>
      <c r="C38" s="11">
        <v>2390</v>
      </c>
      <c r="D38" s="11">
        <v>9630</v>
      </c>
      <c r="F38" s="5">
        <v>44224</v>
      </c>
      <c r="G38" s="11">
        <v>5436</v>
      </c>
      <c r="H38" s="11">
        <v>3249</v>
      </c>
      <c r="I38" s="11">
        <v>8685</v>
      </c>
      <c r="K38" s="5">
        <v>43496</v>
      </c>
      <c r="L38" s="5">
        <v>44224</v>
      </c>
      <c r="M38" s="11">
        <f t="shared" si="2"/>
        <v>-2340</v>
      </c>
      <c r="N38" s="11">
        <f t="shared" si="0"/>
        <v>331</v>
      </c>
      <c r="O38" s="11">
        <f t="shared" si="0"/>
        <v>-2009</v>
      </c>
      <c r="P38" s="8">
        <f t="shared" si="3"/>
        <v>-0.30092592592592593</v>
      </c>
      <c r="Q38" s="8">
        <f t="shared" si="1"/>
        <v>0.11343385880740242</v>
      </c>
      <c r="R38" s="12">
        <f t="shared" si="1"/>
        <v>-0.18786235272115204</v>
      </c>
    </row>
    <row r="39" spans="1:18" x14ac:dyDescent="0.2">
      <c r="A39" s="5">
        <v>43494</v>
      </c>
      <c r="B39" s="11">
        <v>6962</v>
      </c>
      <c r="C39" s="11">
        <v>2952</v>
      </c>
      <c r="D39" s="11">
        <v>9914</v>
      </c>
      <c r="F39" s="5">
        <v>44225</v>
      </c>
      <c r="G39" s="11">
        <v>5810</v>
      </c>
      <c r="H39" s="11">
        <v>2012</v>
      </c>
      <c r="I39" s="11">
        <v>7822</v>
      </c>
      <c r="K39" s="5">
        <v>43497</v>
      </c>
      <c r="L39" s="5">
        <v>44225</v>
      </c>
      <c r="M39" s="11">
        <f t="shared" si="2"/>
        <v>-3043</v>
      </c>
      <c r="N39" s="11">
        <f t="shared" si="0"/>
        <v>-110</v>
      </c>
      <c r="O39" s="11">
        <f t="shared" si="0"/>
        <v>-3153</v>
      </c>
      <c r="P39" s="8">
        <f t="shared" si="3"/>
        <v>-0.34372529086185477</v>
      </c>
      <c r="Q39" s="8">
        <f t="shared" si="1"/>
        <v>-5.1837888784165842E-2</v>
      </c>
      <c r="R39" s="12">
        <f t="shared" si="1"/>
        <v>-0.28728929384965829</v>
      </c>
    </row>
    <row r="40" spans="1:18" x14ac:dyDescent="0.2">
      <c r="A40" s="5">
        <v>43495</v>
      </c>
      <c r="B40" s="11">
        <v>6737</v>
      </c>
      <c r="C40" s="11">
        <v>2961</v>
      </c>
      <c r="D40" s="11">
        <v>9698</v>
      </c>
      <c r="F40" s="5">
        <v>44226</v>
      </c>
      <c r="G40" s="11">
        <v>6781</v>
      </c>
      <c r="H40" s="11">
        <v>784</v>
      </c>
      <c r="I40" s="11">
        <v>7565</v>
      </c>
      <c r="K40" s="5">
        <v>43498</v>
      </c>
      <c r="L40" s="5">
        <v>44226</v>
      </c>
      <c r="M40" s="11">
        <f t="shared" si="2"/>
        <v>-1124</v>
      </c>
      <c r="N40" s="11">
        <f t="shared" si="0"/>
        <v>-717</v>
      </c>
      <c r="O40" s="11">
        <f t="shared" si="0"/>
        <v>-1841</v>
      </c>
      <c r="P40" s="8">
        <f t="shared" si="3"/>
        <v>-0.14218848829854525</v>
      </c>
      <c r="Q40" s="8">
        <f t="shared" si="1"/>
        <v>-0.47768154563624254</v>
      </c>
      <c r="R40" s="12">
        <f t="shared" si="1"/>
        <v>-0.19572613225600677</v>
      </c>
    </row>
    <row r="41" spans="1:18" x14ac:dyDescent="0.2">
      <c r="A41" s="5">
        <v>43496</v>
      </c>
      <c r="B41" s="11">
        <v>7776</v>
      </c>
      <c r="C41" s="11">
        <v>2918</v>
      </c>
      <c r="D41" s="11">
        <v>10694</v>
      </c>
      <c r="F41" s="5">
        <v>44227</v>
      </c>
      <c r="G41" s="11">
        <v>9778</v>
      </c>
      <c r="H41" s="11">
        <v>79</v>
      </c>
      <c r="I41" s="11">
        <v>9857</v>
      </c>
      <c r="K41" s="5">
        <v>43499</v>
      </c>
      <c r="L41" s="5">
        <v>44227</v>
      </c>
      <c r="M41" s="11">
        <f t="shared" si="2"/>
        <v>433</v>
      </c>
      <c r="N41" s="11">
        <f t="shared" si="0"/>
        <v>-100</v>
      </c>
      <c r="O41" s="11">
        <f t="shared" si="0"/>
        <v>333</v>
      </c>
      <c r="P41" s="8">
        <f t="shared" si="3"/>
        <v>4.6334938469769993E-2</v>
      </c>
      <c r="Q41" s="8">
        <f t="shared" si="1"/>
        <v>-0.55865921787709505</v>
      </c>
      <c r="R41" s="12">
        <f t="shared" si="1"/>
        <v>3.4964300713985708E-2</v>
      </c>
    </row>
    <row r="42" spans="1:18" x14ac:dyDescent="0.2">
      <c r="A42" s="5">
        <v>43497</v>
      </c>
      <c r="B42" s="11">
        <v>8853</v>
      </c>
      <c r="C42" s="11">
        <v>2122</v>
      </c>
      <c r="D42" s="11">
        <v>10975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">
      <c r="A43" s="5">
        <v>43498</v>
      </c>
      <c r="B43" s="11">
        <v>7905</v>
      </c>
      <c r="C43" s="11">
        <v>1501</v>
      </c>
      <c r="D43" s="11">
        <v>9406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">
      <c r="A44" s="5">
        <v>43499</v>
      </c>
      <c r="B44" s="11">
        <v>9345</v>
      </c>
      <c r="C44" s="11">
        <v>179</v>
      </c>
      <c r="D44" s="11">
        <v>9524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">
      <c r="A45" s="5"/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3" t="s">
        <v>8</v>
      </c>
      <c r="B47" s="6"/>
      <c r="C47" s="6"/>
      <c r="D47" s="3"/>
      <c r="F47" s="23" t="s">
        <v>8</v>
      </c>
      <c r="G47" s="6"/>
      <c r="H47" s="6"/>
      <c r="I47" s="3"/>
      <c r="K47" s="23" t="s">
        <v>9</v>
      </c>
      <c r="L47" s="23"/>
      <c r="M47" s="6"/>
      <c r="N47" s="6"/>
      <c r="O47" s="3"/>
      <c r="P47" s="6"/>
      <c r="Q47" s="6"/>
      <c r="R47" s="3"/>
    </row>
    <row r="48" spans="1:18" ht="26.45" customHeight="1" x14ac:dyDescent="0.2">
      <c r="A48" s="24"/>
      <c r="B48" s="7" t="s">
        <v>38</v>
      </c>
      <c r="C48" s="4" t="s">
        <v>2</v>
      </c>
      <c r="D48" s="4" t="s">
        <v>0</v>
      </c>
      <c r="F48" s="24"/>
      <c r="G48" s="7" t="s">
        <v>38</v>
      </c>
      <c r="H48" s="4" t="s">
        <v>2</v>
      </c>
      <c r="I48" s="4" t="s">
        <v>0</v>
      </c>
      <c r="K48" s="24"/>
      <c r="L48" s="24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2">
      <c r="A49" s="5">
        <v>43466</v>
      </c>
      <c r="B49" s="11">
        <v>6573</v>
      </c>
      <c r="C49" s="11">
        <v>110</v>
      </c>
      <c r="D49" s="11">
        <v>6683</v>
      </c>
      <c r="F49" s="5">
        <v>44197</v>
      </c>
      <c r="G49" s="11">
        <v>1659</v>
      </c>
      <c r="H49" s="11">
        <v>42</v>
      </c>
      <c r="I49" s="11">
        <v>1701</v>
      </c>
      <c r="K49" s="5">
        <v>43469</v>
      </c>
      <c r="L49" s="5">
        <v>44197</v>
      </c>
      <c r="M49" s="11">
        <v>-4056</v>
      </c>
      <c r="N49" s="11">
        <v>-673</v>
      </c>
      <c r="O49" s="11">
        <v>-4729</v>
      </c>
      <c r="P49" s="8">
        <v>-0.70971128608923884</v>
      </c>
      <c r="Q49" s="8">
        <v>-0.94125874125874121</v>
      </c>
      <c r="R49" s="12">
        <v>-0.73545878693623634</v>
      </c>
    </row>
    <row r="50" spans="1:18" x14ac:dyDescent="0.2">
      <c r="A50" s="5">
        <v>43467</v>
      </c>
      <c r="B50" s="11">
        <v>7154</v>
      </c>
      <c r="C50" s="11">
        <v>336</v>
      </c>
      <c r="D50" s="11">
        <v>7490</v>
      </c>
      <c r="F50" s="5">
        <v>44198</v>
      </c>
      <c r="G50" s="11">
        <v>2178</v>
      </c>
      <c r="H50" s="11">
        <v>91</v>
      </c>
      <c r="I50" s="11">
        <v>2269</v>
      </c>
      <c r="K50" s="5">
        <v>43470</v>
      </c>
      <c r="L50" s="5">
        <v>44198</v>
      </c>
      <c r="M50" s="11">
        <v>-3306</v>
      </c>
      <c r="N50" s="11">
        <v>-357</v>
      </c>
      <c r="O50" s="11">
        <v>-3663</v>
      </c>
      <c r="P50" s="8">
        <v>-0.60284463894967177</v>
      </c>
      <c r="Q50" s="8">
        <v>-0.796875</v>
      </c>
      <c r="R50" s="12">
        <v>-0.61749831422791646</v>
      </c>
    </row>
    <row r="51" spans="1:18" x14ac:dyDescent="0.2">
      <c r="A51" s="5">
        <v>43468</v>
      </c>
      <c r="B51" s="11">
        <v>5649</v>
      </c>
      <c r="C51" s="11">
        <v>731</v>
      </c>
      <c r="D51" s="11">
        <v>6380</v>
      </c>
      <c r="F51" s="5">
        <v>44199</v>
      </c>
      <c r="G51" s="11">
        <v>2328</v>
      </c>
      <c r="H51" s="11">
        <v>39</v>
      </c>
      <c r="I51" s="11">
        <v>2367</v>
      </c>
      <c r="K51" s="5">
        <v>43471</v>
      </c>
      <c r="L51" s="5">
        <v>44199</v>
      </c>
      <c r="M51" s="11">
        <v>-1863</v>
      </c>
      <c r="N51" s="11">
        <v>-41</v>
      </c>
      <c r="O51" s="11">
        <v>-1904</v>
      </c>
      <c r="P51" s="8">
        <v>-0.44452397995705084</v>
      </c>
      <c r="Q51" s="8">
        <v>-0.51249999999999996</v>
      </c>
      <c r="R51" s="12">
        <v>-0.44579723718098807</v>
      </c>
    </row>
    <row r="52" spans="1:18" x14ac:dyDescent="0.2">
      <c r="A52" s="5">
        <v>43469</v>
      </c>
      <c r="B52" s="11">
        <v>5715</v>
      </c>
      <c r="C52" s="11">
        <v>715</v>
      </c>
      <c r="D52" s="11">
        <v>6430</v>
      </c>
      <c r="F52" s="5">
        <v>44200</v>
      </c>
      <c r="G52" s="11">
        <v>2400</v>
      </c>
      <c r="H52" s="11">
        <v>529</v>
      </c>
      <c r="I52" s="11">
        <v>2929</v>
      </c>
      <c r="K52" s="5">
        <v>43472</v>
      </c>
      <c r="L52" s="5">
        <v>44200</v>
      </c>
      <c r="M52" s="11">
        <v>-637</v>
      </c>
      <c r="N52" s="11">
        <v>-370</v>
      </c>
      <c r="O52" s="11">
        <v>-1007</v>
      </c>
      <c r="P52" s="8">
        <v>-0.20974646032268685</v>
      </c>
      <c r="Q52" s="8">
        <v>-0.41156840934371519</v>
      </c>
      <c r="R52" s="12">
        <v>-0.25584349593495936</v>
      </c>
    </row>
    <row r="53" spans="1:18" x14ac:dyDescent="0.2">
      <c r="A53" s="5">
        <v>43470</v>
      </c>
      <c r="B53" s="11">
        <v>5484</v>
      </c>
      <c r="C53" s="11">
        <v>448</v>
      </c>
      <c r="D53" s="11">
        <v>5932</v>
      </c>
      <c r="F53" s="5">
        <v>44201</v>
      </c>
      <c r="G53" s="11">
        <v>2290</v>
      </c>
      <c r="H53" s="11">
        <v>728</v>
      </c>
      <c r="I53" s="11">
        <v>3018</v>
      </c>
      <c r="K53" s="5">
        <v>43473</v>
      </c>
      <c r="L53" s="5">
        <v>44201</v>
      </c>
      <c r="M53" s="11">
        <v>-507</v>
      </c>
      <c r="N53" s="11">
        <v>-463</v>
      </c>
      <c r="O53" s="11">
        <v>-970</v>
      </c>
      <c r="P53" s="8">
        <v>-0.18126564175902748</v>
      </c>
      <c r="Q53" s="8">
        <v>-0.38874895046179681</v>
      </c>
      <c r="R53" s="12">
        <v>-0.24322968906720166</v>
      </c>
    </row>
    <row r="54" spans="1:18" x14ac:dyDescent="0.2">
      <c r="A54" s="5">
        <v>43471</v>
      </c>
      <c r="B54" s="11">
        <v>4191</v>
      </c>
      <c r="C54" s="11">
        <v>80</v>
      </c>
      <c r="D54" s="11">
        <v>4271</v>
      </c>
      <c r="F54" s="5">
        <v>44202</v>
      </c>
      <c r="G54" s="11">
        <v>2447</v>
      </c>
      <c r="H54" s="11">
        <v>489</v>
      </c>
      <c r="I54" s="11">
        <v>2936</v>
      </c>
      <c r="K54" s="5">
        <v>43474</v>
      </c>
      <c r="L54" s="5">
        <v>44202</v>
      </c>
      <c r="M54" s="11">
        <v>-379</v>
      </c>
      <c r="N54" s="11">
        <v>-825</v>
      </c>
      <c r="O54" s="11">
        <v>-1204</v>
      </c>
      <c r="P54" s="8">
        <v>-0.13411181882519463</v>
      </c>
      <c r="Q54" s="8">
        <v>-0.62785388127853881</v>
      </c>
      <c r="R54" s="12">
        <v>-0.29082125603864739</v>
      </c>
    </row>
    <row r="55" spans="1:18" x14ac:dyDescent="0.2">
      <c r="A55" s="5">
        <v>43472</v>
      </c>
      <c r="B55" s="11">
        <v>3037</v>
      </c>
      <c r="C55" s="11">
        <v>899</v>
      </c>
      <c r="D55" s="11">
        <v>3936</v>
      </c>
      <c r="F55" s="5">
        <v>44203</v>
      </c>
      <c r="G55" s="11">
        <v>3450</v>
      </c>
      <c r="H55" s="11">
        <v>1029</v>
      </c>
      <c r="I55" s="11">
        <v>4479</v>
      </c>
      <c r="K55" s="5">
        <v>43475</v>
      </c>
      <c r="L55" s="5">
        <v>44203</v>
      </c>
      <c r="M55" s="11">
        <v>141</v>
      </c>
      <c r="N55" s="11">
        <v>-220</v>
      </c>
      <c r="O55" s="11">
        <v>-79</v>
      </c>
      <c r="P55" s="8">
        <v>4.261106074342691E-2</v>
      </c>
      <c r="Q55" s="8">
        <v>-0.17614091273018417</v>
      </c>
      <c r="R55" s="12">
        <v>-1.7332163229486608E-2</v>
      </c>
    </row>
    <row r="56" spans="1:18" x14ac:dyDescent="0.2">
      <c r="A56" s="5">
        <v>43473</v>
      </c>
      <c r="B56" s="11">
        <v>2797</v>
      </c>
      <c r="C56" s="11">
        <v>1191</v>
      </c>
      <c r="D56" s="11">
        <v>3988</v>
      </c>
      <c r="F56" s="5">
        <v>44204</v>
      </c>
      <c r="G56" s="11">
        <v>3905</v>
      </c>
      <c r="H56" s="11">
        <v>919</v>
      </c>
      <c r="I56" s="11">
        <v>4824</v>
      </c>
      <c r="K56" s="5">
        <v>43476</v>
      </c>
      <c r="L56" s="5">
        <v>44204</v>
      </c>
      <c r="M56" s="11">
        <v>-1217</v>
      </c>
      <c r="N56" s="11">
        <v>-150</v>
      </c>
      <c r="O56" s="11">
        <v>-1367</v>
      </c>
      <c r="P56" s="8">
        <v>-0.2376024990238188</v>
      </c>
      <c r="Q56" s="8">
        <v>-0.14031805425631427</v>
      </c>
      <c r="R56" s="12">
        <v>-0.22080439347439829</v>
      </c>
    </row>
    <row r="57" spans="1:18" x14ac:dyDescent="0.2">
      <c r="A57" s="5">
        <v>43474</v>
      </c>
      <c r="B57" s="11">
        <v>2826</v>
      </c>
      <c r="C57" s="11">
        <v>1314</v>
      </c>
      <c r="D57" s="11">
        <v>4140</v>
      </c>
      <c r="F57" s="5">
        <v>44205</v>
      </c>
      <c r="G57" s="11">
        <v>3232</v>
      </c>
      <c r="H57" s="11">
        <v>431</v>
      </c>
      <c r="I57" s="11">
        <v>3663</v>
      </c>
      <c r="K57" s="5">
        <v>43477</v>
      </c>
      <c r="L57" s="5">
        <v>44205</v>
      </c>
      <c r="M57" s="11">
        <v>-844</v>
      </c>
      <c r="N57" s="11">
        <v>-151</v>
      </c>
      <c r="O57" s="11">
        <v>-995</v>
      </c>
      <c r="P57" s="8">
        <v>-0.20706575073601574</v>
      </c>
      <c r="Q57" s="8">
        <v>-0.25945017182130581</v>
      </c>
      <c r="R57" s="12">
        <v>-0.21361099184199228</v>
      </c>
    </row>
    <row r="58" spans="1:18" x14ac:dyDescent="0.2">
      <c r="A58" s="5">
        <v>43475</v>
      </c>
      <c r="B58" s="11">
        <v>3309</v>
      </c>
      <c r="C58" s="11">
        <v>1249</v>
      </c>
      <c r="D58" s="11">
        <v>4558</v>
      </c>
      <c r="F58" s="5">
        <v>44206</v>
      </c>
      <c r="G58" s="11">
        <v>2925</v>
      </c>
      <c r="H58" s="11">
        <v>49</v>
      </c>
      <c r="I58" s="11">
        <v>2974</v>
      </c>
      <c r="K58" s="5">
        <v>43478</v>
      </c>
      <c r="L58" s="5">
        <v>44206</v>
      </c>
      <c r="M58" s="11">
        <v>-835</v>
      </c>
      <c r="N58" s="11">
        <v>-26</v>
      </c>
      <c r="O58" s="11">
        <v>-861</v>
      </c>
      <c r="P58" s="8">
        <v>-0.22207446808510634</v>
      </c>
      <c r="Q58" s="8">
        <v>-0.34666666666666668</v>
      </c>
      <c r="R58" s="12">
        <v>-0.22451108213820081</v>
      </c>
    </row>
    <row r="59" spans="1:18" x14ac:dyDescent="0.2">
      <c r="A59" s="5">
        <v>43476</v>
      </c>
      <c r="B59" s="11">
        <v>5122</v>
      </c>
      <c r="C59" s="11">
        <v>1069</v>
      </c>
      <c r="D59" s="11">
        <v>6191</v>
      </c>
      <c r="F59" s="5">
        <v>44207</v>
      </c>
      <c r="G59" s="11">
        <v>2498</v>
      </c>
      <c r="H59" s="11">
        <v>931</v>
      </c>
      <c r="I59" s="11">
        <v>3429</v>
      </c>
      <c r="K59" s="5">
        <v>43479</v>
      </c>
      <c r="L59" s="5">
        <v>44207</v>
      </c>
      <c r="M59" s="11">
        <v>-484</v>
      </c>
      <c r="N59" s="11">
        <v>-250</v>
      </c>
      <c r="O59" s="11">
        <v>-734</v>
      </c>
      <c r="P59" s="8">
        <v>-0.16230717639168346</v>
      </c>
      <c r="Q59" s="8">
        <v>-0.21168501270110074</v>
      </c>
      <c r="R59" s="12">
        <v>-0.17631515733845782</v>
      </c>
    </row>
    <row r="60" spans="1:18" x14ac:dyDescent="0.2">
      <c r="A60" s="5">
        <v>43477</v>
      </c>
      <c r="B60" s="11">
        <v>4076</v>
      </c>
      <c r="C60" s="11">
        <v>582</v>
      </c>
      <c r="D60" s="11">
        <v>4658</v>
      </c>
      <c r="F60" s="5">
        <v>44208</v>
      </c>
      <c r="G60" s="11">
        <v>2293</v>
      </c>
      <c r="H60" s="11">
        <v>1040</v>
      </c>
      <c r="I60" s="11">
        <v>3333</v>
      </c>
      <c r="K60" s="5">
        <v>43480</v>
      </c>
      <c r="L60" s="5">
        <v>44208</v>
      </c>
      <c r="M60" s="11">
        <v>-734</v>
      </c>
      <c r="N60" s="11">
        <v>-320</v>
      </c>
      <c r="O60" s="11">
        <v>-1054</v>
      </c>
      <c r="P60" s="8">
        <v>-0.24248430789560627</v>
      </c>
      <c r="Q60" s="8">
        <v>-0.23529411764705888</v>
      </c>
      <c r="R60" s="12">
        <v>-0.24025529974925919</v>
      </c>
    </row>
    <row r="61" spans="1:18" x14ac:dyDescent="0.2">
      <c r="A61" s="5">
        <v>43478</v>
      </c>
      <c r="B61" s="11">
        <v>3760</v>
      </c>
      <c r="C61" s="11">
        <v>75</v>
      </c>
      <c r="D61" s="11">
        <v>3835</v>
      </c>
      <c r="F61" s="5">
        <v>44209</v>
      </c>
      <c r="G61" s="11">
        <v>2517</v>
      </c>
      <c r="H61" s="11">
        <v>1561</v>
      </c>
      <c r="I61" s="11">
        <v>4078</v>
      </c>
      <c r="K61" s="5">
        <v>43481</v>
      </c>
      <c r="L61" s="5">
        <v>44209</v>
      </c>
      <c r="M61" s="11">
        <v>-941</v>
      </c>
      <c r="N61" s="11">
        <v>110</v>
      </c>
      <c r="O61" s="11">
        <v>-831</v>
      </c>
      <c r="P61" s="8">
        <v>-0.27212261422787742</v>
      </c>
      <c r="Q61" s="8">
        <v>7.5809786354238407E-2</v>
      </c>
      <c r="R61" s="12">
        <v>-0.16928091260949274</v>
      </c>
    </row>
    <row r="62" spans="1:18" x14ac:dyDescent="0.2">
      <c r="A62" s="5">
        <v>43479</v>
      </c>
      <c r="B62" s="11">
        <v>2982</v>
      </c>
      <c r="C62" s="11">
        <v>1181</v>
      </c>
      <c r="D62" s="11">
        <v>4163</v>
      </c>
      <c r="F62" s="5">
        <v>44210</v>
      </c>
      <c r="G62" s="11">
        <v>2548</v>
      </c>
      <c r="H62" s="11">
        <v>805</v>
      </c>
      <c r="I62" s="11">
        <v>3353</v>
      </c>
      <c r="K62" s="5">
        <v>43482</v>
      </c>
      <c r="L62" s="5">
        <v>44210</v>
      </c>
      <c r="M62" s="11">
        <v>-1108</v>
      </c>
      <c r="N62" s="11">
        <v>-593</v>
      </c>
      <c r="O62" s="11">
        <v>-1701</v>
      </c>
      <c r="P62" s="8">
        <v>-0.30306345733041573</v>
      </c>
      <c r="Q62" s="8">
        <v>-0.42417739628040052</v>
      </c>
      <c r="R62" s="12">
        <v>-0.33656509695290859</v>
      </c>
    </row>
    <row r="63" spans="1:18" x14ac:dyDescent="0.2">
      <c r="A63" s="5">
        <v>43480</v>
      </c>
      <c r="B63" s="11">
        <v>3027</v>
      </c>
      <c r="C63" s="11">
        <v>1360</v>
      </c>
      <c r="D63" s="11">
        <v>4387</v>
      </c>
      <c r="F63" s="5">
        <v>44211</v>
      </c>
      <c r="G63" s="11">
        <v>3477</v>
      </c>
      <c r="H63" s="11">
        <v>1481</v>
      </c>
      <c r="I63" s="11">
        <v>4958</v>
      </c>
      <c r="K63" s="5">
        <v>43483</v>
      </c>
      <c r="L63" s="5">
        <v>44211</v>
      </c>
      <c r="M63" s="11">
        <v>-2452</v>
      </c>
      <c r="N63" s="11">
        <v>269</v>
      </c>
      <c r="O63" s="11">
        <v>-2183</v>
      </c>
      <c r="P63" s="8">
        <v>-0.41356046550851744</v>
      </c>
      <c r="Q63" s="8">
        <v>0.221947194719472</v>
      </c>
      <c r="R63" s="12">
        <v>-0.30569948186528495</v>
      </c>
    </row>
    <row r="64" spans="1:18" x14ac:dyDescent="0.2">
      <c r="A64" s="5">
        <v>43481</v>
      </c>
      <c r="B64" s="11">
        <v>3458</v>
      </c>
      <c r="C64" s="11">
        <v>1451</v>
      </c>
      <c r="D64" s="11">
        <v>4909</v>
      </c>
      <c r="F64" s="5">
        <v>44212</v>
      </c>
      <c r="G64" s="11">
        <v>3245</v>
      </c>
      <c r="H64" s="11">
        <v>535</v>
      </c>
      <c r="I64" s="11">
        <v>3780</v>
      </c>
      <c r="K64" s="5">
        <v>43484</v>
      </c>
      <c r="L64" s="5">
        <v>44212</v>
      </c>
      <c r="M64" s="11">
        <v>-981</v>
      </c>
      <c r="N64" s="11">
        <v>-29</v>
      </c>
      <c r="O64" s="11">
        <v>-1010</v>
      </c>
      <c r="P64" s="8">
        <v>-0.23213440605773783</v>
      </c>
      <c r="Q64" s="8">
        <v>-5.1418439716312103E-2</v>
      </c>
      <c r="R64" s="12">
        <v>-0.21085594989561585</v>
      </c>
    </row>
    <row r="65" spans="1:18" x14ac:dyDescent="0.2">
      <c r="A65" s="5">
        <v>43482</v>
      </c>
      <c r="B65" s="11">
        <v>3656</v>
      </c>
      <c r="C65" s="11">
        <v>1398</v>
      </c>
      <c r="D65" s="11">
        <v>5054</v>
      </c>
      <c r="F65" s="5">
        <v>44213</v>
      </c>
      <c r="G65" s="11">
        <v>1960</v>
      </c>
      <c r="H65" s="11">
        <v>42</v>
      </c>
      <c r="I65" s="11">
        <v>2002</v>
      </c>
      <c r="K65" s="5">
        <v>43485</v>
      </c>
      <c r="L65" s="5">
        <v>44213</v>
      </c>
      <c r="M65" s="11">
        <v>-2146</v>
      </c>
      <c r="N65" s="11">
        <v>-37</v>
      </c>
      <c r="O65" s="11">
        <v>-2183</v>
      </c>
      <c r="P65" s="8">
        <v>-0.52264978080857283</v>
      </c>
      <c r="Q65" s="8">
        <v>-0.46835443037974689</v>
      </c>
      <c r="R65" s="12">
        <v>-0.52162485065710873</v>
      </c>
    </row>
    <row r="66" spans="1:18" x14ac:dyDescent="0.2">
      <c r="A66" s="5">
        <v>43483</v>
      </c>
      <c r="B66" s="11">
        <v>5929</v>
      </c>
      <c r="C66" s="11">
        <v>1212</v>
      </c>
      <c r="D66" s="11">
        <v>7141</v>
      </c>
      <c r="F66" s="5">
        <v>44214</v>
      </c>
      <c r="G66" s="11">
        <v>2205</v>
      </c>
      <c r="H66" s="11">
        <v>993</v>
      </c>
      <c r="I66" s="11">
        <v>3198</v>
      </c>
      <c r="K66" s="5">
        <v>43486</v>
      </c>
      <c r="L66" s="5">
        <v>44214</v>
      </c>
      <c r="M66" s="11">
        <v>-881</v>
      </c>
      <c r="N66" s="11">
        <v>-40</v>
      </c>
      <c r="O66" s="11">
        <v>-921</v>
      </c>
      <c r="P66" s="8">
        <v>-0.2854828256642904</v>
      </c>
      <c r="Q66" s="8">
        <v>-3.8722168441432725E-2</v>
      </c>
      <c r="R66" s="12">
        <v>-0.22359796067006554</v>
      </c>
    </row>
    <row r="67" spans="1:18" x14ac:dyDescent="0.2">
      <c r="A67" s="5">
        <v>43484</v>
      </c>
      <c r="B67" s="11">
        <v>4226</v>
      </c>
      <c r="C67" s="11">
        <v>564</v>
      </c>
      <c r="D67" s="11">
        <v>4790</v>
      </c>
      <c r="F67" s="5">
        <v>44215</v>
      </c>
      <c r="G67" s="11">
        <v>2246</v>
      </c>
      <c r="H67" s="11">
        <v>1484</v>
      </c>
      <c r="I67" s="11">
        <v>3730</v>
      </c>
      <c r="K67" s="5">
        <v>43487</v>
      </c>
      <c r="L67" s="5">
        <v>44215</v>
      </c>
      <c r="M67" s="11">
        <v>-1185</v>
      </c>
      <c r="N67" s="11">
        <v>99</v>
      </c>
      <c r="O67" s="11">
        <v>-1086</v>
      </c>
      <c r="P67" s="8">
        <v>-0.34538035558146318</v>
      </c>
      <c r="Q67" s="8">
        <v>7.1480144404332036E-2</v>
      </c>
      <c r="R67" s="12">
        <v>-0.22549833887043191</v>
      </c>
    </row>
    <row r="68" spans="1:18" x14ac:dyDescent="0.2">
      <c r="A68" s="5">
        <v>43485</v>
      </c>
      <c r="B68" s="11">
        <v>4106</v>
      </c>
      <c r="C68" s="11">
        <v>79</v>
      </c>
      <c r="D68" s="11">
        <v>4185</v>
      </c>
      <c r="F68" s="5">
        <v>44216</v>
      </c>
      <c r="G68" s="11">
        <v>2384</v>
      </c>
      <c r="H68" s="11">
        <v>1434</v>
      </c>
      <c r="I68" s="11">
        <v>3818</v>
      </c>
      <c r="K68" s="5">
        <v>43488</v>
      </c>
      <c r="L68" s="5">
        <v>44216</v>
      </c>
      <c r="M68" s="11">
        <v>-1029</v>
      </c>
      <c r="N68" s="11">
        <v>40</v>
      </c>
      <c r="O68" s="11">
        <v>-989</v>
      </c>
      <c r="P68" s="8">
        <v>-0.30149428655142108</v>
      </c>
      <c r="Q68" s="8">
        <v>2.8694404591104838E-2</v>
      </c>
      <c r="R68" s="12">
        <v>-0.20574162679425834</v>
      </c>
    </row>
    <row r="69" spans="1:18" x14ac:dyDescent="0.2">
      <c r="A69" s="5">
        <v>43486</v>
      </c>
      <c r="B69" s="11">
        <v>3086</v>
      </c>
      <c r="C69" s="11">
        <v>1033</v>
      </c>
      <c r="D69" s="11">
        <v>4119</v>
      </c>
      <c r="F69" s="5">
        <v>44217</v>
      </c>
      <c r="G69" s="11">
        <v>2617</v>
      </c>
      <c r="H69" s="11">
        <v>1424</v>
      </c>
      <c r="I69" s="11">
        <v>4041</v>
      </c>
      <c r="K69" s="5">
        <v>43489</v>
      </c>
      <c r="L69" s="5">
        <v>44217</v>
      </c>
      <c r="M69" s="11">
        <v>-1554</v>
      </c>
      <c r="N69" s="11">
        <v>11</v>
      </c>
      <c r="O69" s="11">
        <v>-1543</v>
      </c>
      <c r="P69" s="8">
        <v>-0.37257252457444257</v>
      </c>
      <c r="Q69" s="8">
        <v>7.7848549186128047E-3</v>
      </c>
      <c r="R69" s="12">
        <v>-0.27632521489971351</v>
      </c>
    </row>
    <row r="70" spans="1:18" x14ac:dyDescent="0.2">
      <c r="A70" s="5">
        <v>43487</v>
      </c>
      <c r="B70" s="11">
        <v>3431</v>
      </c>
      <c r="C70" s="11">
        <v>1385</v>
      </c>
      <c r="D70" s="11">
        <v>4816</v>
      </c>
      <c r="F70" s="5">
        <v>44218</v>
      </c>
      <c r="G70" s="11">
        <v>4342</v>
      </c>
      <c r="H70" s="11">
        <v>1132</v>
      </c>
      <c r="I70" s="11">
        <v>5474</v>
      </c>
      <c r="K70" s="5">
        <v>43490</v>
      </c>
      <c r="L70" s="5">
        <v>44218</v>
      </c>
      <c r="M70" s="11">
        <v>-2095</v>
      </c>
      <c r="N70" s="11">
        <v>-26</v>
      </c>
      <c r="O70" s="11">
        <v>-2121</v>
      </c>
      <c r="P70" s="8">
        <v>-0.32546217181917048</v>
      </c>
      <c r="Q70" s="8">
        <v>-2.2452504317789335E-2</v>
      </c>
      <c r="R70" s="12">
        <v>-0.27926267281105988</v>
      </c>
    </row>
    <row r="71" spans="1:18" x14ac:dyDescent="0.2">
      <c r="A71" s="5">
        <v>43488</v>
      </c>
      <c r="B71" s="11">
        <v>3413</v>
      </c>
      <c r="C71" s="11">
        <v>1394</v>
      </c>
      <c r="D71" s="11">
        <v>4807</v>
      </c>
      <c r="F71" s="5">
        <v>44219</v>
      </c>
      <c r="G71" s="11">
        <v>3565</v>
      </c>
      <c r="H71" s="11">
        <v>535</v>
      </c>
      <c r="I71" s="11">
        <v>4100</v>
      </c>
      <c r="K71" s="5">
        <v>43491</v>
      </c>
      <c r="L71" s="5">
        <v>44219</v>
      </c>
      <c r="M71" s="11">
        <v>-2055</v>
      </c>
      <c r="N71" s="11">
        <v>0</v>
      </c>
      <c r="O71" s="11">
        <v>-2055</v>
      </c>
      <c r="P71" s="8">
        <v>-0.36565836298932386</v>
      </c>
      <c r="Q71" s="8">
        <v>0</v>
      </c>
      <c r="R71" s="12">
        <v>-0.33387489845653939</v>
      </c>
    </row>
    <row r="72" spans="1:18" x14ac:dyDescent="0.2">
      <c r="A72" s="5">
        <v>43489</v>
      </c>
      <c r="B72" s="11">
        <v>4171</v>
      </c>
      <c r="C72" s="11">
        <v>1413</v>
      </c>
      <c r="D72" s="11">
        <v>5584</v>
      </c>
      <c r="F72" s="5">
        <v>44220</v>
      </c>
      <c r="G72" s="11">
        <v>3062</v>
      </c>
      <c r="H72" s="11">
        <v>50</v>
      </c>
      <c r="I72" s="11">
        <v>3112</v>
      </c>
      <c r="K72" s="5">
        <v>43492</v>
      </c>
      <c r="L72" s="5">
        <v>44220</v>
      </c>
      <c r="M72" s="11">
        <v>-993</v>
      </c>
      <c r="N72" s="11">
        <v>-29</v>
      </c>
      <c r="O72" s="11">
        <v>-1022</v>
      </c>
      <c r="P72" s="8">
        <v>-0.24488286066584464</v>
      </c>
      <c r="Q72" s="8">
        <v>-0.36708860759493667</v>
      </c>
      <c r="R72" s="12">
        <v>-0.24721819061441708</v>
      </c>
    </row>
    <row r="73" spans="1:18" x14ac:dyDescent="0.2">
      <c r="A73" s="5">
        <v>43490</v>
      </c>
      <c r="B73" s="11">
        <v>6437</v>
      </c>
      <c r="C73" s="11">
        <v>1158</v>
      </c>
      <c r="D73" s="11">
        <v>7595</v>
      </c>
      <c r="F73" s="5">
        <v>44221</v>
      </c>
      <c r="G73" s="11">
        <v>2304</v>
      </c>
      <c r="H73" s="11">
        <v>1046</v>
      </c>
      <c r="I73" s="11">
        <v>3350</v>
      </c>
      <c r="K73" s="5">
        <v>43493</v>
      </c>
      <c r="L73" s="5">
        <v>44221</v>
      </c>
      <c r="M73" s="11">
        <f t="shared" ref="M73:M75" si="4">G73-B76</f>
        <v>-878</v>
      </c>
      <c r="N73" s="11">
        <f t="shared" ref="N73:N75" si="5">H73-C76</f>
        <v>1</v>
      </c>
      <c r="O73" s="11">
        <f t="shared" ref="O73:O75" si="6">I73-D76</f>
        <v>-877</v>
      </c>
      <c r="P73" s="8">
        <f t="shared" ref="P73:P75" si="7">G73/B76-1</f>
        <v>-0.27592708988057824</v>
      </c>
      <c r="Q73" s="8">
        <f t="shared" ref="Q73:Q75" si="8">H73/C76-1</f>
        <v>9.5693779904304499E-4</v>
      </c>
      <c r="R73" s="12">
        <f t="shared" ref="R73:R75" si="9">I73/D76-1</f>
        <v>-0.2074757511237284</v>
      </c>
    </row>
    <row r="74" spans="1:18" x14ac:dyDescent="0.2">
      <c r="A74" s="5">
        <v>43491</v>
      </c>
      <c r="B74" s="11">
        <v>5620</v>
      </c>
      <c r="C74" s="11">
        <v>535</v>
      </c>
      <c r="D74" s="11">
        <v>6155</v>
      </c>
      <c r="F74" s="5">
        <v>44222</v>
      </c>
      <c r="G74" s="11">
        <v>2656</v>
      </c>
      <c r="H74" s="11">
        <v>1345</v>
      </c>
      <c r="I74" s="11">
        <v>4001</v>
      </c>
      <c r="K74" s="5">
        <v>43494</v>
      </c>
      <c r="L74" s="5">
        <v>44222</v>
      </c>
      <c r="M74" s="11">
        <f t="shared" si="4"/>
        <v>-743</v>
      </c>
      <c r="N74" s="11">
        <f t="shared" si="5"/>
        <v>-1</v>
      </c>
      <c r="O74" s="11">
        <f t="shared" si="6"/>
        <v>-744</v>
      </c>
      <c r="P74" s="8">
        <f t="shared" si="7"/>
        <v>-0.21859370403059719</v>
      </c>
      <c r="Q74" s="8">
        <f t="shared" si="8"/>
        <v>-7.429420505200568E-4</v>
      </c>
      <c r="R74" s="12">
        <f t="shared" si="9"/>
        <v>-0.15679662802950478</v>
      </c>
    </row>
    <row r="75" spans="1:18" x14ac:dyDescent="0.2">
      <c r="A75" s="5">
        <v>43492</v>
      </c>
      <c r="B75" s="11">
        <v>4055</v>
      </c>
      <c r="C75" s="11">
        <v>79</v>
      </c>
      <c r="D75" s="11">
        <v>4134</v>
      </c>
      <c r="F75" s="5">
        <v>44223</v>
      </c>
      <c r="G75" s="11">
        <v>2356</v>
      </c>
      <c r="H75" s="11">
        <v>726</v>
      </c>
      <c r="I75" s="11">
        <v>3082</v>
      </c>
      <c r="K75" s="5">
        <v>43495</v>
      </c>
      <c r="L75" s="5">
        <v>44223</v>
      </c>
      <c r="M75" s="11">
        <f t="shared" si="4"/>
        <v>-1015</v>
      </c>
      <c r="N75" s="11">
        <f t="shared" si="5"/>
        <v>-722</v>
      </c>
      <c r="O75" s="11">
        <f t="shared" si="6"/>
        <v>-1737</v>
      </c>
      <c r="P75" s="8">
        <f t="shared" si="7"/>
        <v>-0.30109759715218032</v>
      </c>
      <c r="Q75" s="8">
        <f t="shared" si="8"/>
        <v>-0.49861878453038677</v>
      </c>
      <c r="R75" s="12">
        <f t="shared" si="9"/>
        <v>-0.36044822577298197</v>
      </c>
    </row>
    <row r="76" spans="1:18" x14ac:dyDescent="0.2">
      <c r="A76" s="5">
        <v>43493</v>
      </c>
      <c r="B76" s="11">
        <v>3182</v>
      </c>
      <c r="C76" s="11">
        <v>1045</v>
      </c>
      <c r="D76" s="11">
        <v>4227</v>
      </c>
      <c r="F76" s="5">
        <v>44224</v>
      </c>
      <c r="G76" s="11">
        <v>3078</v>
      </c>
      <c r="H76" s="11">
        <v>1725</v>
      </c>
      <c r="I76" s="11">
        <v>4803</v>
      </c>
      <c r="K76" s="5">
        <v>43496</v>
      </c>
      <c r="L76" s="5">
        <v>44224</v>
      </c>
      <c r="M76" s="11">
        <f t="shared" ref="M76:M79" si="10">G76-B79</f>
        <v>-1092</v>
      </c>
      <c r="N76" s="11">
        <f t="shared" ref="N76:N79" si="11">H76-C79</f>
        <v>328</v>
      </c>
      <c r="O76" s="11">
        <f t="shared" ref="O76:O79" si="12">I76-D79</f>
        <v>-764</v>
      </c>
      <c r="P76" s="8">
        <f t="shared" ref="P76:P79" si="13">G76/B79-1</f>
        <v>-0.26187050359712227</v>
      </c>
      <c r="Q76" s="8">
        <f t="shared" ref="Q76:Q79" si="14">H76/C79-1</f>
        <v>0.23478883321402999</v>
      </c>
      <c r="R76" s="12">
        <f t="shared" ref="R76:R79" si="15">I76/D79-1</f>
        <v>-0.13723729118016881</v>
      </c>
    </row>
    <row r="77" spans="1:18" x14ac:dyDescent="0.2">
      <c r="A77" s="5">
        <v>43494</v>
      </c>
      <c r="B77" s="11">
        <v>3399</v>
      </c>
      <c r="C77" s="11">
        <v>1346</v>
      </c>
      <c r="D77" s="11">
        <v>4745</v>
      </c>
      <c r="F77" s="5">
        <v>44225</v>
      </c>
      <c r="G77" s="11">
        <v>3350</v>
      </c>
      <c r="H77" s="11">
        <v>982</v>
      </c>
      <c r="I77" s="11">
        <v>4332</v>
      </c>
      <c r="K77" s="5">
        <v>43497</v>
      </c>
      <c r="L77" s="5">
        <v>44225</v>
      </c>
      <c r="M77" s="11">
        <f t="shared" si="10"/>
        <v>-2214</v>
      </c>
      <c r="N77" s="11">
        <f t="shared" si="11"/>
        <v>-140</v>
      </c>
      <c r="O77" s="11">
        <f t="shared" si="12"/>
        <v>-2354</v>
      </c>
      <c r="P77" s="8">
        <f t="shared" si="13"/>
        <v>-0.39791516894320633</v>
      </c>
      <c r="Q77" s="8">
        <f t="shared" si="14"/>
        <v>-0.12477718360071299</v>
      </c>
      <c r="R77" s="12">
        <f t="shared" si="15"/>
        <v>-0.35207897098414598</v>
      </c>
    </row>
    <row r="78" spans="1:18" x14ac:dyDescent="0.2">
      <c r="A78" s="5">
        <v>43495</v>
      </c>
      <c r="B78" s="11">
        <v>3371</v>
      </c>
      <c r="C78" s="11">
        <v>1448</v>
      </c>
      <c r="D78" s="11">
        <v>4819</v>
      </c>
      <c r="F78" s="5">
        <v>44226</v>
      </c>
      <c r="G78" s="11">
        <v>3850</v>
      </c>
      <c r="H78" s="11">
        <v>327</v>
      </c>
      <c r="I78" s="11">
        <v>4177</v>
      </c>
      <c r="K78" s="5">
        <v>43498</v>
      </c>
      <c r="L78" s="5">
        <v>44226</v>
      </c>
      <c r="M78" s="11">
        <f t="shared" si="10"/>
        <v>-334</v>
      </c>
      <c r="N78" s="11">
        <f t="shared" si="11"/>
        <v>-372</v>
      </c>
      <c r="O78" s="11">
        <f t="shared" si="12"/>
        <v>-706</v>
      </c>
      <c r="P78" s="8">
        <f t="shared" si="13"/>
        <v>-7.9827915869980837E-2</v>
      </c>
      <c r="Q78" s="8">
        <f t="shared" si="14"/>
        <v>-0.53218884120171672</v>
      </c>
      <c r="R78" s="12">
        <f t="shared" si="15"/>
        <v>-0.14458324800327671</v>
      </c>
    </row>
    <row r="79" spans="1:18" x14ac:dyDescent="0.2">
      <c r="A79" s="5">
        <v>43496</v>
      </c>
      <c r="B79" s="11">
        <v>4170</v>
      </c>
      <c r="C79" s="11">
        <v>1397</v>
      </c>
      <c r="D79" s="11">
        <v>5567</v>
      </c>
      <c r="F79" s="5">
        <v>44227</v>
      </c>
      <c r="G79" s="11">
        <v>3603</v>
      </c>
      <c r="H79" s="11">
        <v>45</v>
      </c>
      <c r="I79" s="11">
        <v>3648</v>
      </c>
      <c r="K79" s="5">
        <v>43499</v>
      </c>
      <c r="L79" s="5">
        <v>44227</v>
      </c>
      <c r="M79" s="11">
        <f t="shared" si="10"/>
        <v>-45</v>
      </c>
      <c r="N79" s="11">
        <f t="shared" si="11"/>
        <v>-35</v>
      </c>
      <c r="O79" s="11">
        <f t="shared" si="12"/>
        <v>-80</v>
      </c>
      <c r="P79" s="8">
        <f t="shared" si="13"/>
        <v>-1.2335526315789491E-2</v>
      </c>
      <c r="Q79" s="8">
        <f t="shared" si="14"/>
        <v>-0.4375</v>
      </c>
      <c r="R79" s="12">
        <f t="shared" si="15"/>
        <v>-2.1459227467811148E-2</v>
      </c>
    </row>
    <row r="80" spans="1:18" x14ac:dyDescent="0.2">
      <c r="A80" s="5">
        <v>43497</v>
      </c>
      <c r="B80" s="11">
        <v>5564</v>
      </c>
      <c r="C80" s="11">
        <v>1122</v>
      </c>
      <c r="D80" s="11">
        <v>6686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">
      <c r="A81" s="5">
        <v>43498</v>
      </c>
      <c r="B81" s="11">
        <v>4184</v>
      </c>
      <c r="C81" s="11">
        <v>699</v>
      </c>
      <c r="D81" s="11">
        <v>4883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2">
      <c r="A82" s="5">
        <v>43499</v>
      </c>
      <c r="B82" s="11">
        <v>3648</v>
      </c>
      <c r="C82" s="11">
        <v>80</v>
      </c>
      <c r="D82" s="11">
        <v>3728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2">
      <c r="A83" s="5"/>
      <c r="B83" s="11"/>
      <c r="C83" s="11"/>
      <c r="D83" s="11"/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2">
      <c r="B84" s="2"/>
      <c r="C84" s="2"/>
      <c r="G84" s="2"/>
      <c r="H84" s="2"/>
    </row>
    <row r="85" spans="1:18" ht="12.95" customHeight="1" x14ac:dyDescent="0.2">
      <c r="A85" s="23" t="s">
        <v>24</v>
      </c>
      <c r="B85" s="6"/>
      <c r="C85" s="6"/>
      <c r="D85" s="3"/>
      <c r="F85" s="23" t="s">
        <v>24</v>
      </c>
      <c r="G85" s="6"/>
      <c r="H85" s="6"/>
      <c r="I85" s="3"/>
      <c r="K85" s="23" t="s">
        <v>25</v>
      </c>
      <c r="L85" s="23"/>
      <c r="M85" s="6"/>
      <c r="N85" s="6"/>
      <c r="O85" s="3"/>
      <c r="P85" s="6"/>
      <c r="Q85" s="6"/>
      <c r="R85" s="3"/>
    </row>
    <row r="86" spans="1:18" ht="26.45" customHeight="1" x14ac:dyDescent="0.2">
      <c r="A86" s="24"/>
      <c r="B86" s="7" t="s">
        <v>38</v>
      </c>
      <c r="C86" s="4" t="s">
        <v>2</v>
      </c>
      <c r="D86" s="4" t="s">
        <v>0</v>
      </c>
      <c r="F86" s="24"/>
      <c r="G86" s="7" t="s">
        <v>38</v>
      </c>
      <c r="H86" s="4" t="s">
        <v>2</v>
      </c>
      <c r="I86" s="4" t="s">
        <v>0</v>
      </c>
      <c r="K86" s="24"/>
      <c r="L86" s="24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2">
      <c r="A87" s="5">
        <v>43466</v>
      </c>
      <c r="B87" s="11">
        <v>8870</v>
      </c>
      <c r="C87" s="11">
        <v>98</v>
      </c>
      <c r="D87" s="11">
        <v>8968</v>
      </c>
      <c r="F87" s="5">
        <v>44197</v>
      </c>
      <c r="G87" s="11">
        <v>3798</v>
      </c>
      <c r="H87" s="11">
        <v>24</v>
      </c>
      <c r="I87" s="11">
        <v>3822</v>
      </c>
      <c r="K87" s="5">
        <v>43469</v>
      </c>
      <c r="L87" s="5">
        <v>44197</v>
      </c>
      <c r="M87" s="11">
        <v>-6832</v>
      </c>
      <c r="N87" s="11">
        <v>-770</v>
      </c>
      <c r="O87" s="11">
        <v>-7602</v>
      </c>
      <c r="P87" s="8">
        <v>-0.64270931326434622</v>
      </c>
      <c r="Q87" s="8">
        <v>-0.96977329974811088</v>
      </c>
      <c r="R87" s="12">
        <v>-0.66544117647058831</v>
      </c>
    </row>
    <row r="88" spans="1:18" x14ac:dyDescent="0.2">
      <c r="A88" s="5">
        <v>43467</v>
      </c>
      <c r="B88" s="11">
        <v>11253</v>
      </c>
      <c r="C88" s="11">
        <v>568</v>
      </c>
      <c r="D88" s="11">
        <v>11821</v>
      </c>
      <c r="F88" s="5">
        <v>44198</v>
      </c>
      <c r="G88" s="11">
        <v>7136</v>
      </c>
      <c r="H88" s="11">
        <v>108</v>
      </c>
      <c r="I88" s="11">
        <v>7244</v>
      </c>
      <c r="K88" s="5">
        <v>43470</v>
      </c>
      <c r="L88" s="5">
        <v>44198</v>
      </c>
      <c r="M88" s="11">
        <v>-5304</v>
      </c>
      <c r="N88" s="11">
        <v>-405</v>
      </c>
      <c r="O88" s="11">
        <v>-5709</v>
      </c>
      <c r="P88" s="8">
        <v>-0.42636655948553059</v>
      </c>
      <c r="Q88" s="8">
        <v>-0.78947368421052633</v>
      </c>
      <c r="R88" s="12">
        <v>-0.44074731722380911</v>
      </c>
    </row>
    <row r="89" spans="1:18" x14ac:dyDescent="0.2">
      <c r="A89" s="5">
        <v>43468</v>
      </c>
      <c r="B89" s="11">
        <v>9646</v>
      </c>
      <c r="C89" s="11">
        <v>848</v>
      </c>
      <c r="D89" s="11">
        <v>10494</v>
      </c>
      <c r="F89" s="5">
        <v>44199</v>
      </c>
      <c r="G89" s="11">
        <v>7155</v>
      </c>
      <c r="H89" s="11">
        <v>35</v>
      </c>
      <c r="I89" s="11">
        <v>7190</v>
      </c>
      <c r="K89" s="5">
        <v>43471</v>
      </c>
      <c r="L89" s="5">
        <v>44199</v>
      </c>
      <c r="M89" s="11">
        <v>-5570</v>
      </c>
      <c r="N89" s="11">
        <v>-100</v>
      </c>
      <c r="O89" s="11">
        <v>-5670</v>
      </c>
      <c r="P89" s="8">
        <v>-0.43772102161100201</v>
      </c>
      <c r="Q89" s="8">
        <v>-0.7407407407407407</v>
      </c>
      <c r="R89" s="12">
        <v>-0.44090202177293936</v>
      </c>
    </row>
    <row r="90" spans="1:18" x14ac:dyDescent="0.2">
      <c r="A90" s="5">
        <v>43469</v>
      </c>
      <c r="B90" s="11">
        <v>10630</v>
      </c>
      <c r="C90" s="11">
        <v>794</v>
      </c>
      <c r="D90" s="11">
        <v>11424</v>
      </c>
      <c r="F90" s="5">
        <v>44200</v>
      </c>
      <c r="G90" s="11">
        <v>4182</v>
      </c>
      <c r="H90" s="11">
        <v>811</v>
      </c>
      <c r="I90" s="11">
        <v>4993</v>
      </c>
      <c r="K90" s="5">
        <v>43472</v>
      </c>
      <c r="L90" s="5">
        <v>44200</v>
      </c>
      <c r="M90" s="11">
        <v>-1739</v>
      </c>
      <c r="N90" s="11">
        <v>-268</v>
      </c>
      <c r="O90" s="11">
        <v>-2007</v>
      </c>
      <c r="P90" s="8">
        <v>-0.29370038844789736</v>
      </c>
      <c r="Q90" s="8">
        <v>-0.24837812789620017</v>
      </c>
      <c r="R90" s="12">
        <v>-0.2867142857142857</v>
      </c>
    </row>
    <row r="91" spans="1:18" x14ac:dyDescent="0.2">
      <c r="A91" s="5">
        <v>43470</v>
      </c>
      <c r="B91" s="11">
        <v>12440</v>
      </c>
      <c r="C91" s="11">
        <v>513</v>
      </c>
      <c r="D91" s="11">
        <v>12953</v>
      </c>
      <c r="F91" s="5">
        <v>44201</v>
      </c>
      <c r="G91" s="11">
        <v>3169</v>
      </c>
      <c r="H91" s="11">
        <v>940</v>
      </c>
      <c r="I91" s="11">
        <v>4109</v>
      </c>
      <c r="K91" s="5">
        <v>43473</v>
      </c>
      <c r="L91" s="5">
        <v>44201</v>
      </c>
      <c r="M91" s="11">
        <v>-776</v>
      </c>
      <c r="N91" s="11">
        <v>-408</v>
      </c>
      <c r="O91" s="11">
        <v>-1184</v>
      </c>
      <c r="P91" s="8">
        <v>-0.19670468948035491</v>
      </c>
      <c r="Q91" s="8">
        <v>-0.30267062314540061</v>
      </c>
      <c r="R91" s="12">
        <v>-0.22369166824107312</v>
      </c>
    </row>
    <row r="92" spans="1:18" x14ac:dyDescent="0.2">
      <c r="A92" s="5">
        <v>43471</v>
      </c>
      <c r="B92" s="11">
        <v>12725</v>
      </c>
      <c r="C92" s="11">
        <v>135</v>
      </c>
      <c r="D92" s="11">
        <v>12860</v>
      </c>
      <c r="F92" s="5">
        <v>44202</v>
      </c>
      <c r="G92" s="11">
        <v>2580</v>
      </c>
      <c r="H92" s="11">
        <v>269</v>
      </c>
      <c r="I92" s="11">
        <v>2849</v>
      </c>
      <c r="K92" s="5">
        <v>43474</v>
      </c>
      <c r="L92" s="5">
        <v>44202</v>
      </c>
      <c r="M92" s="11">
        <v>-746</v>
      </c>
      <c r="N92" s="11">
        <v>-1327</v>
      </c>
      <c r="O92" s="11">
        <v>-2073</v>
      </c>
      <c r="P92" s="8">
        <v>-0.22429344558027664</v>
      </c>
      <c r="Q92" s="8">
        <v>-0.831453634085213</v>
      </c>
      <c r="R92" s="12">
        <v>-0.42117025599349855</v>
      </c>
    </row>
    <row r="93" spans="1:18" x14ac:dyDescent="0.2">
      <c r="A93" s="5">
        <v>43472</v>
      </c>
      <c r="B93" s="11">
        <v>5921</v>
      </c>
      <c r="C93" s="11">
        <v>1079</v>
      </c>
      <c r="D93" s="11">
        <v>7000</v>
      </c>
      <c r="F93" s="5">
        <v>44203</v>
      </c>
      <c r="G93" s="11">
        <v>3247</v>
      </c>
      <c r="H93" s="11">
        <v>897</v>
      </c>
      <c r="I93" s="11">
        <v>4144</v>
      </c>
      <c r="K93" s="5">
        <v>43475</v>
      </c>
      <c r="L93" s="5">
        <v>44203</v>
      </c>
      <c r="M93" s="11">
        <v>-136</v>
      </c>
      <c r="N93" s="11">
        <v>-484</v>
      </c>
      <c r="O93" s="11">
        <v>-620</v>
      </c>
      <c r="P93" s="8">
        <v>-4.020100502512558E-2</v>
      </c>
      <c r="Q93" s="8">
        <v>-0.35047067342505434</v>
      </c>
      <c r="R93" s="12">
        <v>-0.13014273719563396</v>
      </c>
    </row>
    <row r="94" spans="1:18" x14ac:dyDescent="0.2">
      <c r="A94" s="5">
        <v>43473</v>
      </c>
      <c r="B94" s="11">
        <v>3945</v>
      </c>
      <c r="C94" s="11">
        <v>1348</v>
      </c>
      <c r="D94" s="11">
        <v>5293</v>
      </c>
      <c r="F94" s="5">
        <v>44204</v>
      </c>
      <c r="G94" s="11">
        <v>3809</v>
      </c>
      <c r="H94" s="11">
        <v>1008</v>
      </c>
      <c r="I94" s="11">
        <v>4817</v>
      </c>
      <c r="K94" s="5">
        <v>43476</v>
      </c>
      <c r="L94" s="5">
        <v>44204</v>
      </c>
      <c r="M94" s="11">
        <v>-242</v>
      </c>
      <c r="N94" s="11">
        <v>-133</v>
      </c>
      <c r="O94" s="11">
        <v>-375</v>
      </c>
      <c r="P94" s="8">
        <v>-5.9738336213280618E-2</v>
      </c>
      <c r="Q94" s="8">
        <v>-0.1165644171779141</v>
      </c>
      <c r="R94" s="12">
        <v>-7.2226502311248053E-2</v>
      </c>
    </row>
    <row r="95" spans="1:18" x14ac:dyDescent="0.2">
      <c r="A95" s="5">
        <v>43474</v>
      </c>
      <c r="B95" s="11">
        <v>3326</v>
      </c>
      <c r="C95" s="11">
        <v>1596</v>
      </c>
      <c r="D95" s="11">
        <v>4922</v>
      </c>
      <c r="F95" s="5">
        <v>44205</v>
      </c>
      <c r="G95" s="11">
        <v>4904</v>
      </c>
      <c r="H95" s="11">
        <v>579</v>
      </c>
      <c r="I95" s="11">
        <v>5483</v>
      </c>
      <c r="K95" s="5">
        <v>43477</v>
      </c>
      <c r="L95" s="5">
        <v>44205</v>
      </c>
      <c r="M95" s="11">
        <v>82</v>
      </c>
      <c r="N95" s="11">
        <v>-109</v>
      </c>
      <c r="O95" s="11">
        <v>-27</v>
      </c>
      <c r="P95" s="8">
        <v>1.7005391953546223E-2</v>
      </c>
      <c r="Q95" s="8">
        <v>-0.15843023255813948</v>
      </c>
      <c r="R95" s="12">
        <v>-4.9001814882032591E-3</v>
      </c>
    </row>
    <row r="96" spans="1:18" x14ac:dyDescent="0.2">
      <c r="A96" s="5">
        <v>43475</v>
      </c>
      <c r="B96" s="11">
        <v>3383</v>
      </c>
      <c r="C96" s="11">
        <v>1381</v>
      </c>
      <c r="D96" s="11">
        <v>4764</v>
      </c>
      <c r="F96" s="5">
        <v>44206</v>
      </c>
      <c r="G96" s="11">
        <v>6027</v>
      </c>
      <c r="H96" s="11">
        <v>27</v>
      </c>
      <c r="I96" s="11">
        <v>6054</v>
      </c>
      <c r="K96" s="5">
        <v>43478</v>
      </c>
      <c r="L96" s="5">
        <v>44206</v>
      </c>
      <c r="M96" s="11">
        <v>-335</v>
      </c>
      <c r="N96" s="11">
        <v>-67</v>
      </c>
      <c r="O96" s="11">
        <v>-402</v>
      </c>
      <c r="P96" s="8">
        <v>-5.2656397359320928E-2</v>
      </c>
      <c r="Q96" s="8">
        <v>-0.71276595744680848</v>
      </c>
      <c r="R96" s="12">
        <v>-6.2267657992565062E-2</v>
      </c>
    </row>
    <row r="97" spans="1:18" x14ac:dyDescent="0.2">
      <c r="A97" s="5">
        <v>43476</v>
      </c>
      <c r="B97" s="11">
        <v>4051</v>
      </c>
      <c r="C97" s="11">
        <v>1141</v>
      </c>
      <c r="D97" s="11">
        <v>5192</v>
      </c>
      <c r="F97" s="5">
        <v>44207</v>
      </c>
      <c r="G97" s="11">
        <v>3435</v>
      </c>
      <c r="H97" s="11">
        <v>1246</v>
      </c>
      <c r="I97" s="11">
        <v>4681</v>
      </c>
      <c r="K97" s="5">
        <v>43479</v>
      </c>
      <c r="L97" s="5">
        <v>44207</v>
      </c>
      <c r="M97" s="11">
        <v>-700</v>
      </c>
      <c r="N97" s="11">
        <v>-261</v>
      </c>
      <c r="O97" s="11">
        <v>-961</v>
      </c>
      <c r="P97" s="8">
        <v>-0.16928657799274482</v>
      </c>
      <c r="Q97" s="8">
        <v>-0.17319177173191769</v>
      </c>
      <c r="R97" s="12">
        <v>-0.17032967032967028</v>
      </c>
    </row>
    <row r="98" spans="1:18" x14ac:dyDescent="0.2">
      <c r="A98" s="5">
        <v>43477</v>
      </c>
      <c r="B98" s="11">
        <v>4822</v>
      </c>
      <c r="C98" s="11">
        <v>688</v>
      </c>
      <c r="D98" s="11">
        <v>5510</v>
      </c>
      <c r="F98" s="5">
        <v>44208</v>
      </c>
      <c r="G98" s="11">
        <v>2351</v>
      </c>
      <c r="H98" s="11">
        <v>1393</v>
      </c>
      <c r="I98" s="11">
        <v>3744</v>
      </c>
      <c r="K98" s="5">
        <v>43480</v>
      </c>
      <c r="L98" s="5">
        <v>44208</v>
      </c>
      <c r="M98" s="11">
        <v>-1052</v>
      </c>
      <c r="N98" s="11">
        <v>-177</v>
      </c>
      <c r="O98" s="11">
        <v>-1229</v>
      </c>
      <c r="P98" s="8">
        <v>-0.30913899500440789</v>
      </c>
      <c r="Q98" s="8">
        <v>-0.11273885350318469</v>
      </c>
      <c r="R98" s="12">
        <v>-0.2471345264427911</v>
      </c>
    </row>
    <row r="99" spans="1:18" x14ac:dyDescent="0.2">
      <c r="A99" s="5">
        <v>43478</v>
      </c>
      <c r="B99" s="11">
        <v>6362</v>
      </c>
      <c r="C99" s="11">
        <v>94</v>
      </c>
      <c r="D99" s="11">
        <v>6456</v>
      </c>
      <c r="F99" s="5">
        <v>44209</v>
      </c>
      <c r="G99" s="11">
        <v>2335</v>
      </c>
      <c r="H99" s="11">
        <v>1667</v>
      </c>
      <c r="I99" s="11">
        <v>4002</v>
      </c>
      <c r="K99" s="5">
        <v>43481</v>
      </c>
      <c r="L99" s="5">
        <v>44209</v>
      </c>
      <c r="M99" s="11">
        <v>-1254</v>
      </c>
      <c r="N99" s="11">
        <v>12</v>
      </c>
      <c r="O99" s="11">
        <v>-1242</v>
      </c>
      <c r="P99" s="8">
        <v>-0.34940094733909166</v>
      </c>
      <c r="Q99" s="8">
        <v>7.2507552870091363E-3</v>
      </c>
      <c r="R99" s="12">
        <v>-0.23684210526315785</v>
      </c>
    </row>
    <row r="100" spans="1:18" x14ac:dyDescent="0.2">
      <c r="A100" s="5">
        <v>43479</v>
      </c>
      <c r="B100" s="11">
        <v>4135</v>
      </c>
      <c r="C100" s="11">
        <v>1507</v>
      </c>
      <c r="D100" s="11">
        <v>5642</v>
      </c>
      <c r="F100" s="5">
        <v>44210</v>
      </c>
      <c r="G100" s="11">
        <v>2268</v>
      </c>
      <c r="H100" s="11">
        <v>1397</v>
      </c>
      <c r="I100" s="11">
        <v>3665</v>
      </c>
      <c r="K100" s="5">
        <v>43482</v>
      </c>
      <c r="L100" s="5">
        <v>44210</v>
      </c>
      <c r="M100" s="11">
        <v>-1037</v>
      </c>
      <c r="N100" s="11">
        <v>-67</v>
      </c>
      <c r="O100" s="11">
        <v>-1104</v>
      </c>
      <c r="P100" s="8">
        <v>-0.31376701966717091</v>
      </c>
      <c r="Q100" s="8">
        <v>-4.5765027322404395E-2</v>
      </c>
      <c r="R100" s="12">
        <v>-0.23149507234221012</v>
      </c>
    </row>
    <row r="101" spans="1:18" x14ac:dyDescent="0.2">
      <c r="A101" s="5">
        <v>43480</v>
      </c>
      <c r="B101" s="11">
        <v>3403</v>
      </c>
      <c r="C101" s="11">
        <v>1570</v>
      </c>
      <c r="D101" s="11">
        <v>4973</v>
      </c>
      <c r="F101" s="5">
        <v>44211</v>
      </c>
      <c r="G101" s="11">
        <v>2326</v>
      </c>
      <c r="H101" s="11">
        <v>1086</v>
      </c>
      <c r="I101" s="11">
        <v>3412</v>
      </c>
      <c r="K101" s="5">
        <v>43483</v>
      </c>
      <c r="L101" s="5">
        <v>44211</v>
      </c>
      <c r="M101" s="11">
        <v>-1677</v>
      </c>
      <c r="N101" s="11">
        <v>-101</v>
      </c>
      <c r="O101" s="11">
        <v>-1778</v>
      </c>
      <c r="P101" s="8">
        <v>-0.41893579815138648</v>
      </c>
      <c r="Q101" s="8">
        <v>-8.5088458298230862E-2</v>
      </c>
      <c r="R101" s="12">
        <v>-0.34258188824662816</v>
      </c>
    </row>
    <row r="102" spans="1:18" x14ac:dyDescent="0.2">
      <c r="A102" s="5">
        <v>43481</v>
      </c>
      <c r="B102" s="11">
        <v>3589</v>
      </c>
      <c r="C102" s="11">
        <v>1655</v>
      </c>
      <c r="D102" s="11">
        <v>5244</v>
      </c>
      <c r="F102" s="5">
        <v>44212</v>
      </c>
      <c r="G102" s="11">
        <v>3226</v>
      </c>
      <c r="H102" s="11">
        <v>619</v>
      </c>
      <c r="I102" s="11">
        <v>3845</v>
      </c>
      <c r="K102" s="5">
        <v>43484</v>
      </c>
      <c r="L102" s="5">
        <v>44212</v>
      </c>
      <c r="M102" s="11">
        <v>-726</v>
      </c>
      <c r="N102" s="11">
        <v>-130</v>
      </c>
      <c r="O102" s="11">
        <v>-856</v>
      </c>
      <c r="P102" s="8">
        <v>-0.1837044534412956</v>
      </c>
      <c r="Q102" s="8">
        <v>-0.17356475300400531</v>
      </c>
      <c r="R102" s="12">
        <v>-0.18208891725164855</v>
      </c>
    </row>
    <row r="103" spans="1:18" x14ac:dyDescent="0.2">
      <c r="A103" s="5">
        <v>43482</v>
      </c>
      <c r="B103" s="11">
        <v>3305</v>
      </c>
      <c r="C103" s="11">
        <v>1464</v>
      </c>
      <c r="D103" s="11">
        <v>4769</v>
      </c>
      <c r="F103" s="5">
        <v>44213</v>
      </c>
      <c r="G103" s="11">
        <v>3713</v>
      </c>
      <c r="H103" s="11">
        <v>44</v>
      </c>
      <c r="I103" s="11">
        <v>3757</v>
      </c>
      <c r="K103" s="5">
        <v>43485</v>
      </c>
      <c r="L103" s="5">
        <v>44213</v>
      </c>
      <c r="M103" s="11">
        <v>-2399</v>
      </c>
      <c r="N103" s="11">
        <v>-67</v>
      </c>
      <c r="O103" s="11">
        <v>-2466</v>
      </c>
      <c r="P103" s="8">
        <v>-0.39250654450261779</v>
      </c>
      <c r="Q103" s="8">
        <v>-0.60360360360360366</v>
      </c>
      <c r="R103" s="12">
        <v>-0.39627189458460554</v>
      </c>
    </row>
    <row r="104" spans="1:18" x14ac:dyDescent="0.2">
      <c r="A104" s="5">
        <v>43483</v>
      </c>
      <c r="B104" s="11">
        <v>4003</v>
      </c>
      <c r="C104" s="11">
        <v>1187</v>
      </c>
      <c r="D104" s="11">
        <v>5190</v>
      </c>
      <c r="F104" s="5">
        <v>44214</v>
      </c>
      <c r="G104" s="11">
        <v>2830</v>
      </c>
      <c r="H104" s="11">
        <v>1157</v>
      </c>
      <c r="I104" s="11">
        <v>3987</v>
      </c>
      <c r="K104" s="5">
        <v>43486</v>
      </c>
      <c r="L104" s="5">
        <v>44214</v>
      </c>
      <c r="M104" s="11">
        <v>-1214</v>
      </c>
      <c r="N104" s="11">
        <v>-232</v>
      </c>
      <c r="O104" s="11">
        <v>-1446</v>
      </c>
      <c r="P104" s="8">
        <v>-0.30019782393669636</v>
      </c>
      <c r="Q104" s="8">
        <v>-0.16702663786897043</v>
      </c>
      <c r="R104" s="12">
        <v>-0.26615129762562117</v>
      </c>
    </row>
    <row r="105" spans="1:18" x14ac:dyDescent="0.2">
      <c r="A105" s="5">
        <v>43484</v>
      </c>
      <c r="B105" s="11">
        <v>3952</v>
      </c>
      <c r="C105" s="11">
        <v>749</v>
      </c>
      <c r="D105" s="11">
        <v>4701</v>
      </c>
      <c r="F105" s="5">
        <v>44215</v>
      </c>
      <c r="G105" s="11">
        <v>2465</v>
      </c>
      <c r="H105" s="11">
        <v>1713</v>
      </c>
      <c r="I105" s="11">
        <v>4178</v>
      </c>
      <c r="K105" s="5">
        <v>43487</v>
      </c>
      <c r="L105" s="5">
        <v>44215</v>
      </c>
      <c r="M105" s="11">
        <v>-1157</v>
      </c>
      <c r="N105" s="11">
        <v>126</v>
      </c>
      <c r="O105" s="11">
        <v>-1031</v>
      </c>
      <c r="P105" s="8">
        <v>-0.31943677526228598</v>
      </c>
      <c r="Q105" s="8">
        <v>7.9395085066162663E-2</v>
      </c>
      <c r="R105" s="12">
        <v>-0.19792666538683046</v>
      </c>
    </row>
    <row r="106" spans="1:18" x14ac:dyDescent="0.2">
      <c r="A106" s="5">
        <v>43485</v>
      </c>
      <c r="B106" s="11">
        <v>6112</v>
      </c>
      <c r="C106" s="11">
        <v>111</v>
      </c>
      <c r="D106" s="11">
        <v>6223</v>
      </c>
      <c r="F106" s="5">
        <v>44216</v>
      </c>
      <c r="G106" s="11">
        <v>2504</v>
      </c>
      <c r="H106" s="11">
        <v>1504</v>
      </c>
      <c r="I106" s="11">
        <v>4008</v>
      </c>
      <c r="K106" s="5">
        <v>43488</v>
      </c>
      <c r="L106" s="5">
        <v>44216</v>
      </c>
      <c r="M106" s="11">
        <v>-904</v>
      </c>
      <c r="N106" s="11">
        <v>-78</v>
      </c>
      <c r="O106" s="11">
        <v>-982</v>
      </c>
      <c r="P106" s="8">
        <v>-0.26525821596244137</v>
      </c>
      <c r="Q106" s="8">
        <v>-4.9304677623261739E-2</v>
      </c>
      <c r="R106" s="12">
        <v>-0.19679358717434869</v>
      </c>
    </row>
    <row r="107" spans="1:18" x14ac:dyDescent="0.2">
      <c r="A107" s="5">
        <v>43486</v>
      </c>
      <c r="B107" s="11">
        <v>4044</v>
      </c>
      <c r="C107" s="11">
        <v>1389</v>
      </c>
      <c r="D107" s="11">
        <v>5433</v>
      </c>
      <c r="F107" s="5">
        <v>44217</v>
      </c>
      <c r="G107" s="11">
        <v>2188</v>
      </c>
      <c r="H107" s="11">
        <v>1526</v>
      </c>
      <c r="I107" s="11">
        <v>3714</v>
      </c>
      <c r="K107" s="5">
        <v>43489</v>
      </c>
      <c r="L107" s="5">
        <v>44217</v>
      </c>
      <c r="M107" s="11">
        <v>-1205</v>
      </c>
      <c r="N107" s="11">
        <v>61</v>
      </c>
      <c r="O107" s="11">
        <v>-1144</v>
      </c>
      <c r="P107" s="8">
        <v>-0.35514294134983793</v>
      </c>
      <c r="Q107" s="8">
        <v>4.1638225255972605E-2</v>
      </c>
      <c r="R107" s="12">
        <v>-0.23548785508439685</v>
      </c>
    </row>
    <row r="108" spans="1:18" x14ac:dyDescent="0.2">
      <c r="A108" s="5">
        <v>43487</v>
      </c>
      <c r="B108" s="11">
        <v>3622</v>
      </c>
      <c r="C108" s="11">
        <v>1587</v>
      </c>
      <c r="D108" s="11">
        <v>5209</v>
      </c>
      <c r="F108" s="5">
        <v>44218</v>
      </c>
      <c r="G108" s="11">
        <v>2582</v>
      </c>
      <c r="H108" s="11">
        <v>1254</v>
      </c>
      <c r="I108" s="11">
        <v>3836</v>
      </c>
      <c r="K108" s="5">
        <v>43490</v>
      </c>
      <c r="L108" s="5">
        <v>44218</v>
      </c>
      <c r="M108" s="11">
        <v>-1460</v>
      </c>
      <c r="N108" s="11">
        <v>66</v>
      </c>
      <c r="O108" s="11">
        <v>-1394</v>
      </c>
      <c r="P108" s="8">
        <v>-0.36120732310737258</v>
      </c>
      <c r="Q108" s="8">
        <v>5.555555555555558E-2</v>
      </c>
      <c r="R108" s="12">
        <v>-0.26653919694072659</v>
      </c>
    </row>
    <row r="109" spans="1:18" x14ac:dyDescent="0.2">
      <c r="A109" s="5">
        <v>43488</v>
      </c>
      <c r="B109" s="11">
        <v>3408</v>
      </c>
      <c r="C109" s="11">
        <v>1582</v>
      </c>
      <c r="D109" s="11">
        <v>4990</v>
      </c>
      <c r="F109" s="5">
        <v>44219</v>
      </c>
      <c r="G109" s="11">
        <v>2624</v>
      </c>
      <c r="H109" s="11">
        <v>649</v>
      </c>
      <c r="I109" s="11">
        <v>3273</v>
      </c>
      <c r="K109" s="5">
        <v>43491</v>
      </c>
      <c r="L109" s="5">
        <v>44219</v>
      </c>
      <c r="M109" s="11">
        <v>-1946</v>
      </c>
      <c r="N109" s="11">
        <v>-113</v>
      </c>
      <c r="O109" s="11">
        <v>-2059</v>
      </c>
      <c r="P109" s="8">
        <v>-0.42582056892778997</v>
      </c>
      <c r="Q109" s="8">
        <v>-0.14829396325459321</v>
      </c>
      <c r="R109" s="12">
        <v>-0.38615903975994004</v>
      </c>
    </row>
    <row r="110" spans="1:18" x14ac:dyDescent="0.2">
      <c r="A110" s="5">
        <v>43489</v>
      </c>
      <c r="B110" s="11">
        <v>3393</v>
      </c>
      <c r="C110" s="11">
        <v>1465</v>
      </c>
      <c r="D110" s="11">
        <v>4858</v>
      </c>
      <c r="F110" s="5">
        <v>44220</v>
      </c>
      <c r="G110" s="11">
        <v>4907</v>
      </c>
      <c r="H110" s="11">
        <v>29</v>
      </c>
      <c r="I110" s="11">
        <v>4936</v>
      </c>
      <c r="K110" s="5">
        <v>43492</v>
      </c>
      <c r="L110" s="5">
        <v>44220</v>
      </c>
      <c r="M110" s="11">
        <v>-2071</v>
      </c>
      <c r="N110" s="11">
        <v>-81</v>
      </c>
      <c r="O110" s="11">
        <v>-2152</v>
      </c>
      <c r="P110" s="8">
        <v>-0.2967899111493264</v>
      </c>
      <c r="Q110" s="8">
        <v>-0.73636363636363633</v>
      </c>
      <c r="R110" s="12">
        <v>-0.30361173814898423</v>
      </c>
    </row>
    <row r="111" spans="1:18" x14ac:dyDescent="0.2">
      <c r="A111" s="5">
        <v>43490</v>
      </c>
      <c r="B111" s="11">
        <v>4042</v>
      </c>
      <c r="C111" s="11">
        <v>1188</v>
      </c>
      <c r="D111" s="11">
        <v>5230</v>
      </c>
      <c r="F111" s="5">
        <v>44221</v>
      </c>
      <c r="G111" s="11">
        <v>2855</v>
      </c>
      <c r="H111" s="11">
        <v>1398</v>
      </c>
      <c r="I111" s="11">
        <v>4253</v>
      </c>
      <c r="K111" s="5">
        <v>43493</v>
      </c>
      <c r="L111" s="5">
        <v>44221</v>
      </c>
      <c r="M111" s="11">
        <f t="shared" ref="M111:M113" si="16">G111-B114</f>
        <v>-1203</v>
      </c>
      <c r="N111" s="11">
        <f t="shared" ref="N111:N113" si="17">H111-C114</f>
        <v>53</v>
      </c>
      <c r="O111" s="11">
        <f t="shared" ref="O111:O113" si="18">I111-D114</f>
        <v>-1150</v>
      </c>
      <c r="P111" s="8">
        <f t="shared" ref="P111:P113" si="19">G111/B114-1</f>
        <v>-0.29645145391818628</v>
      </c>
      <c r="Q111" s="8">
        <f t="shared" ref="Q111:Q113" si="20">H111/C114-1</f>
        <v>3.9405204460966514E-2</v>
      </c>
      <c r="R111" s="12">
        <f t="shared" ref="R111:R113" si="21">I111/D114-1</f>
        <v>-0.2128447158985749</v>
      </c>
    </row>
    <row r="112" spans="1:18" x14ac:dyDescent="0.2">
      <c r="A112" s="5">
        <v>43491</v>
      </c>
      <c r="B112" s="11">
        <v>4570</v>
      </c>
      <c r="C112" s="11">
        <v>762</v>
      </c>
      <c r="D112" s="11">
        <v>5332</v>
      </c>
      <c r="F112" s="5">
        <v>44222</v>
      </c>
      <c r="G112" s="11">
        <v>2710</v>
      </c>
      <c r="H112" s="11">
        <v>1445</v>
      </c>
      <c r="I112" s="11">
        <v>4155</v>
      </c>
      <c r="K112" s="5">
        <v>43494</v>
      </c>
      <c r="L112" s="5">
        <v>44222</v>
      </c>
      <c r="M112" s="11">
        <f t="shared" si="16"/>
        <v>-853</v>
      </c>
      <c r="N112" s="11">
        <f t="shared" si="17"/>
        <v>-161</v>
      </c>
      <c r="O112" s="11">
        <f t="shared" si="18"/>
        <v>-1014</v>
      </c>
      <c r="P112" s="8">
        <f t="shared" si="19"/>
        <v>-0.23940499579006458</v>
      </c>
      <c r="Q112" s="8">
        <f t="shared" si="20"/>
        <v>-0.10024906600249062</v>
      </c>
      <c r="R112" s="12">
        <f t="shared" si="21"/>
        <v>-0.19616947185142197</v>
      </c>
    </row>
    <row r="113" spans="1:18" x14ac:dyDescent="0.2">
      <c r="A113" s="5">
        <v>43492</v>
      </c>
      <c r="B113" s="11">
        <v>6978</v>
      </c>
      <c r="C113" s="11">
        <v>110</v>
      </c>
      <c r="D113" s="11">
        <v>7088</v>
      </c>
      <c r="F113" s="5">
        <v>44223</v>
      </c>
      <c r="G113" s="11">
        <v>2349</v>
      </c>
      <c r="H113" s="11">
        <v>1083</v>
      </c>
      <c r="I113" s="11">
        <v>3432</v>
      </c>
      <c r="K113" s="5">
        <v>43495</v>
      </c>
      <c r="L113" s="5">
        <v>44223</v>
      </c>
      <c r="M113" s="11">
        <f t="shared" si="16"/>
        <v>-1017</v>
      </c>
      <c r="N113" s="11">
        <f t="shared" si="17"/>
        <v>-430</v>
      </c>
      <c r="O113" s="11">
        <f t="shared" si="18"/>
        <v>-1447</v>
      </c>
      <c r="P113" s="8">
        <f t="shared" si="19"/>
        <v>-0.30213903743315507</v>
      </c>
      <c r="Q113" s="8">
        <f t="shared" si="20"/>
        <v>-0.28420356906807664</v>
      </c>
      <c r="R113" s="12">
        <f t="shared" si="21"/>
        <v>-0.29657716745234675</v>
      </c>
    </row>
    <row r="114" spans="1:18" x14ac:dyDescent="0.2">
      <c r="A114" s="5">
        <v>43493</v>
      </c>
      <c r="B114" s="11">
        <v>4058</v>
      </c>
      <c r="C114" s="11">
        <v>1345</v>
      </c>
      <c r="D114" s="11">
        <v>5403</v>
      </c>
      <c r="F114" s="5">
        <v>44224</v>
      </c>
      <c r="G114" s="11">
        <v>2358</v>
      </c>
      <c r="H114" s="11">
        <v>1524</v>
      </c>
      <c r="I114" s="11">
        <v>3882</v>
      </c>
      <c r="K114" s="5">
        <v>43496</v>
      </c>
      <c r="L114" s="5">
        <v>44224</v>
      </c>
      <c r="M114" s="11">
        <f t="shared" ref="M114:M117" si="22">G114-B117</f>
        <v>-1248</v>
      </c>
      <c r="N114" s="11">
        <f t="shared" ref="N114:N117" si="23">H114-C117</f>
        <v>3</v>
      </c>
      <c r="O114" s="11">
        <f t="shared" ref="O114:O117" si="24">I114-D117</f>
        <v>-1245</v>
      </c>
      <c r="P114" s="8">
        <f t="shared" ref="P114:P117" si="25">G114/B117-1</f>
        <v>-0.34608985024958405</v>
      </c>
      <c r="Q114" s="8">
        <f t="shared" ref="Q114:Q117" si="26">H114/C117-1</f>
        <v>1.9723865877712132E-3</v>
      </c>
      <c r="R114" s="12">
        <f t="shared" ref="R114:R117" si="27">I114/D117-1</f>
        <v>-0.24283206553540082</v>
      </c>
    </row>
    <row r="115" spans="1:18" x14ac:dyDescent="0.2">
      <c r="A115" s="5">
        <v>43494</v>
      </c>
      <c r="B115" s="11">
        <v>3563</v>
      </c>
      <c r="C115" s="11">
        <v>1606</v>
      </c>
      <c r="D115" s="11">
        <v>5169</v>
      </c>
      <c r="F115" s="5">
        <v>44225</v>
      </c>
      <c r="G115" s="11">
        <v>2460</v>
      </c>
      <c r="H115" s="11">
        <v>1030</v>
      </c>
      <c r="I115" s="11">
        <v>3490</v>
      </c>
      <c r="K115" s="5">
        <v>43497</v>
      </c>
      <c r="L115" s="5">
        <v>44225</v>
      </c>
      <c r="M115" s="11">
        <f t="shared" si="22"/>
        <v>-829</v>
      </c>
      <c r="N115" s="11">
        <f t="shared" si="23"/>
        <v>30</v>
      </c>
      <c r="O115" s="11">
        <f t="shared" si="24"/>
        <v>-799</v>
      </c>
      <c r="P115" s="8">
        <f t="shared" si="25"/>
        <v>-0.25205229553055641</v>
      </c>
      <c r="Q115" s="8">
        <f t="shared" si="26"/>
        <v>3.0000000000000027E-2</v>
      </c>
      <c r="R115" s="12">
        <f t="shared" si="27"/>
        <v>-0.18629051060853341</v>
      </c>
    </row>
    <row r="116" spans="1:18" x14ac:dyDescent="0.2">
      <c r="A116" s="5">
        <v>43495</v>
      </c>
      <c r="B116" s="11">
        <v>3366</v>
      </c>
      <c r="C116" s="11">
        <v>1513</v>
      </c>
      <c r="D116" s="11">
        <v>4879</v>
      </c>
      <c r="F116" s="5">
        <v>44226</v>
      </c>
      <c r="G116" s="11">
        <v>2931</v>
      </c>
      <c r="H116" s="11">
        <v>457</v>
      </c>
      <c r="I116" s="11">
        <v>3388</v>
      </c>
      <c r="K116" s="5">
        <v>43498</v>
      </c>
      <c r="L116" s="5">
        <v>44226</v>
      </c>
      <c r="M116" s="11">
        <f t="shared" si="22"/>
        <v>-790</v>
      </c>
      <c r="N116" s="11">
        <f t="shared" si="23"/>
        <v>-345</v>
      </c>
      <c r="O116" s="11">
        <f t="shared" si="24"/>
        <v>-1135</v>
      </c>
      <c r="P116" s="8">
        <f t="shared" si="25"/>
        <v>-0.21230851921526472</v>
      </c>
      <c r="Q116" s="8">
        <f t="shared" si="26"/>
        <v>-0.43017456359102246</v>
      </c>
      <c r="R116" s="12">
        <f t="shared" si="27"/>
        <v>-0.25093964183064332</v>
      </c>
    </row>
    <row r="117" spans="1:18" x14ac:dyDescent="0.2">
      <c r="A117" s="5">
        <v>43496</v>
      </c>
      <c r="B117" s="11">
        <v>3606</v>
      </c>
      <c r="C117" s="11">
        <v>1521</v>
      </c>
      <c r="D117" s="11">
        <v>5127</v>
      </c>
      <c r="F117" s="5">
        <v>44227</v>
      </c>
      <c r="G117" s="11">
        <v>6175</v>
      </c>
      <c r="H117" s="11">
        <v>34</v>
      </c>
      <c r="I117" s="11">
        <v>6209</v>
      </c>
      <c r="K117" s="5">
        <v>43499</v>
      </c>
      <c r="L117" s="5">
        <v>44227</v>
      </c>
      <c r="M117" s="11">
        <f t="shared" si="22"/>
        <v>478</v>
      </c>
      <c r="N117" s="11">
        <f t="shared" si="23"/>
        <v>-65</v>
      </c>
      <c r="O117" s="11">
        <f t="shared" si="24"/>
        <v>413</v>
      </c>
      <c r="P117" s="8">
        <f t="shared" si="25"/>
        <v>8.3903809022292331E-2</v>
      </c>
      <c r="Q117" s="8">
        <f t="shared" si="26"/>
        <v>-0.65656565656565657</v>
      </c>
      <c r="R117" s="12">
        <f t="shared" si="27"/>
        <v>7.125603864734309E-2</v>
      </c>
    </row>
    <row r="118" spans="1:18" x14ac:dyDescent="0.2">
      <c r="A118" s="5">
        <v>43497</v>
      </c>
      <c r="B118" s="11">
        <v>3289</v>
      </c>
      <c r="C118" s="11">
        <v>1000</v>
      </c>
      <c r="D118" s="11">
        <v>4289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2">
      <c r="A119" s="5">
        <v>43498</v>
      </c>
      <c r="B119" s="11">
        <v>3721</v>
      </c>
      <c r="C119" s="11">
        <v>802</v>
      </c>
      <c r="D119" s="11">
        <v>4523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2">
      <c r="A120" s="5">
        <v>43499</v>
      </c>
      <c r="B120" s="11">
        <v>5697</v>
      </c>
      <c r="C120" s="11">
        <v>99</v>
      </c>
      <c r="D120" s="11">
        <v>5796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R120"/>
  <sheetViews>
    <sheetView zoomScale="70" zoomScaleNormal="70" workbookViewId="0"/>
  </sheetViews>
  <sheetFormatPr baseColWidth="10" defaultRowHeight="12.75" x14ac:dyDescent="0.2"/>
  <cols>
    <col min="1" max="1" width="29.42578125" customWidth="1"/>
    <col min="2" max="2" width="12.85546875" bestFit="1" customWidth="1"/>
    <col min="3" max="3" width="7.42578125" bestFit="1" customWidth="1"/>
    <col min="4" max="4" width="15.85546875" bestFit="1" customWidth="1"/>
    <col min="5" max="5" width="1.140625" customWidth="1"/>
    <col min="6" max="6" width="30" customWidth="1"/>
    <col min="7" max="7" width="12.85546875" bestFit="1" customWidth="1"/>
    <col min="8" max="8" width="7.42578125" bestFit="1" customWidth="1"/>
    <col min="9" max="9" width="15.85546875" bestFit="1" customWidth="1"/>
    <col min="10" max="10" width="0.85546875" customWidth="1"/>
    <col min="11" max="11" width="29.42578125" customWidth="1"/>
    <col min="12" max="12" width="29.5703125" customWidth="1"/>
    <col min="13" max="13" width="12.85546875" bestFit="1" customWidth="1"/>
    <col min="14" max="14" width="7.42578125" bestFit="1" customWidth="1"/>
    <col min="15" max="15" width="15.85546875" bestFit="1" customWidth="1"/>
    <col min="16" max="16" width="12.85546875" bestFit="1" customWidth="1"/>
    <col min="17" max="17" width="7.140625" bestFit="1" customWidth="1"/>
    <col min="18" max="18" width="15.85546875" style="9" bestFit="1" customWidth="1"/>
  </cols>
  <sheetData>
    <row r="1" spans="1:18" ht="15.75" x14ac:dyDescent="0.25">
      <c r="A1" s="10" t="s">
        <v>50</v>
      </c>
    </row>
    <row r="2" spans="1:18" ht="15" x14ac:dyDescent="0.2">
      <c r="A2" s="18" t="s">
        <v>44</v>
      </c>
    </row>
    <row r="3" spans="1:18" ht="15" x14ac:dyDescent="0.2">
      <c r="A3" s="18" t="s">
        <v>45</v>
      </c>
    </row>
    <row r="4" spans="1:18" ht="15" x14ac:dyDescent="0.2">
      <c r="A4" s="18" t="s">
        <v>46</v>
      </c>
    </row>
    <row r="5" spans="1:18" ht="15" x14ac:dyDescent="0.2">
      <c r="A5" s="18"/>
    </row>
    <row r="6" spans="1:18" ht="15" x14ac:dyDescent="0.2">
      <c r="A6" s="21" t="s">
        <v>47</v>
      </c>
      <c r="B6" s="22"/>
      <c r="C6" s="22"/>
      <c r="D6" s="22"/>
      <c r="E6" s="19"/>
      <c r="F6" s="19"/>
      <c r="G6" s="19"/>
    </row>
    <row r="7" spans="1:18" ht="15" x14ac:dyDescent="0.2">
      <c r="A7" s="21" t="s">
        <v>48</v>
      </c>
      <c r="B7" s="22"/>
      <c r="C7" s="22"/>
    </row>
    <row r="9" spans="1:18" ht="12.95" customHeight="1" x14ac:dyDescent="0.2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5" customHeight="1" x14ac:dyDescent="0.2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">
      <c r="A11" s="5">
        <v>43466</v>
      </c>
      <c r="B11" s="11">
        <v>49141</v>
      </c>
      <c r="C11" s="11">
        <v>180</v>
      </c>
      <c r="D11" s="11">
        <v>49321</v>
      </c>
      <c r="F11" s="5">
        <v>44197</v>
      </c>
      <c r="G11" s="11">
        <v>34154</v>
      </c>
      <c r="H11" s="11">
        <v>95</v>
      </c>
      <c r="I11" s="11">
        <v>34249</v>
      </c>
      <c r="K11" s="5">
        <v>43469</v>
      </c>
      <c r="L11" s="5">
        <v>44197</v>
      </c>
      <c r="M11" s="11">
        <v>-39840</v>
      </c>
      <c r="N11" s="11">
        <v>-2022</v>
      </c>
      <c r="O11" s="11">
        <v>-41862</v>
      </c>
      <c r="P11" s="8">
        <v>-0.53842203421899071</v>
      </c>
      <c r="Q11" s="8">
        <v>-0.9551251771374587</v>
      </c>
      <c r="R11" s="12">
        <v>-0.55001248177004636</v>
      </c>
    </row>
    <row r="12" spans="1:18" x14ac:dyDescent="0.2">
      <c r="A12" s="5">
        <v>43467</v>
      </c>
      <c r="B12" s="11">
        <v>66078</v>
      </c>
      <c r="C12" s="11">
        <v>745</v>
      </c>
      <c r="D12" s="11">
        <v>66823</v>
      </c>
      <c r="F12" s="5">
        <v>44198</v>
      </c>
      <c r="G12" s="11">
        <v>56079</v>
      </c>
      <c r="H12" s="11">
        <v>365</v>
      </c>
      <c r="I12" s="11">
        <v>56444</v>
      </c>
      <c r="K12" s="5">
        <v>43470</v>
      </c>
      <c r="L12" s="5">
        <v>44198</v>
      </c>
      <c r="M12" s="11">
        <v>-14912</v>
      </c>
      <c r="N12" s="11">
        <v>-490</v>
      </c>
      <c r="O12" s="11">
        <v>-15402</v>
      </c>
      <c r="P12" s="8">
        <v>-0.21005479567832541</v>
      </c>
      <c r="Q12" s="8">
        <v>-0.57309941520467844</v>
      </c>
      <c r="R12" s="12">
        <v>-0.21437519138156613</v>
      </c>
    </row>
    <row r="13" spans="1:18" x14ac:dyDescent="0.2">
      <c r="A13" s="5">
        <v>43468</v>
      </c>
      <c r="B13" s="11">
        <v>67559</v>
      </c>
      <c r="C13" s="11">
        <v>2184</v>
      </c>
      <c r="D13" s="11">
        <v>69743</v>
      </c>
      <c r="F13" s="5">
        <v>44199</v>
      </c>
      <c r="G13" s="11">
        <v>52171</v>
      </c>
      <c r="H13" s="11">
        <v>165</v>
      </c>
      <c r="I13" s="11">
        <v>52336</v>
      </c>
      <c r="K13" s="5">
        <v>43471</v>
      </c>
      <c r="L13" s="5">
        <v>44199</v>
      </c>
      <c r="M13" s="11">
        <v>-9347</v>
      </c>
      <c r="N13" s="11">
        <v>-178</v>
      </c>
      <c r="O13" s="11">
        <v>-9525</v>
      </c>
      <c r="P13" s="8">
        <v>-0.15193926980721095</v>
      </c>
      <c r="Q13" s="8">
        <v>-0.51895043731778423</v>
      </c>
      <c r="R13" s="12">
        <v>-0.1539742325536283</v>
      </c>
    </row>
    <row r="14" spans="1:18" x14ac:dyDescent="0.2">
      <c r="A14" s="5">
        <v>43469</v>
      </c>
      <c r="B14" s="11">
        <v>73994</v>
      </c>
      <c r="C14" s="11">
        <v>2117</v>
      </c>
      <c r="D14" s="11">
        <v>76111</v>
      </c>
      <c r="F14" s="5">
        <v>44200</v>
      </c>
      <c r="G14" s="11">
        <v>54529</v>
      </c>
      <c r="H14" s="11">
        <v>1863</v>
      </c>
      <c r="I14" s="11">
        <v>56392</v>
      </c>
      <c r="K14" s="5">
        <v>43472</v>
      </c>
      <c r="L14" s="5">
        <v>44200</v>
      </c>
      <c r="M14" s="11">
        <v>-17246</v>
      </c>
      <c r="N14" s="11">
        <v>-613</v>
      </c>
      <c r="O14" s="11">
        <v>-17859</v>
      </c>
      <c r="P14" s="8">
        <v>-0.24027864855451064</v>
      </c>
      <c r="Q14" s="8">
        <v>-0.24757673667205171</v>
      </c>
      <c r="R14" s="12">
        <v>-0.24052201317153976</v>
      </c>
    </row>
    <row r="15" spans="1:18" x14ac:dyDescent="0.2">
      <c r="A15" s="5">
        <v>43470</v>
      </c>
      <c r="B15" s="11">
        <v>70991</v>
      </c>
      <c r="C15" s="11">
        <v>855</v>
      </c>
      <c r="D15" s="11">
        <v>71846</v>
      </c>
      <c r="F15" s="5">
        <v>44201</v>
      </c>
      <c r="G15" s="11">
        <v>53198</v>
      </c>
      <c r="H15" s="11">
        <v>2162</v>
      </c>
      <c r="I15" s="11">
        <v>55360</v>
      </c>
      <c r="K15" s="5">
        <v>43473</v>
      </c>
      <c r="L15" s="5">
        <v>44201</v>
      </c>
      <c r="M15" s="11">
        <v>-17139</v>
      </c>
      <c r="N15" s="11">
        <v>-640</v>
      </c>
      <c r="O15" s="11">
        <v>-17779</v>
      </c>
      <c r="P15" s="8">
        <v>-0.2436697612920653</v>
      </c>
      <c r="Q15" s="8">
        <v>-0.22840827980014278</v>
      </c>
      <c r="R15" s="12">
        <v>-0.24308508456500633</v>
      </c>
    </row>
    <row r="16" spans="1:18" x14ac:dyDescent="0.2">
      <c r="A16" s="5">
        <v>43471</v>
      </c>
      <c r="B16" s="11">
        <v>61518</v>
      </c>
      <c r="C16" s="11">
        <v>343</v>
      </c>
      <c r="D16" s="11">
        <v>61861</v>
      </c>
      <c r="F16" s="5">
        <v>44202</v>
      </c>
      <c r="G16" s="11">
        <v>55499</v>
      </c>
      <c r="H16" s="11">
        <v>2121</v>
      </c>
      <c r="I16" s="11">
        <v>57620</v>
      </c>
      <c r="K16" s="5">
        <v>43474</v>
      </c>
      <c r="L16" s="5">
        <v>44202</v>
      </c>
      <c r="M16" s="11">
        <v>-13403</v>
      </c>
      <c r="N16" s="11">
        <v>-742</v>
      </c>
      <c r="O16" s="11">
        <v>-14145</v>
      </c>
      <c r="P16" s="8">
        <v>-0.19452265536559166</v>
      </c>
      <c r="Q16" s="8">
        <v>-0.25916870415647919</v>
      </c>
      <c r="R16" s="12">
        <v>-0.19710165122274093</v>
      </c>
    </row>
    <row r="17" spans="1:18" x14ac:dyDescent="0.2">
      <c r="A17" s="5">
        <v>43472</v>
      </c>
      <c r="B17" s="11">
        <v>71775</v>
      </c>
      <c r="C17" s="11">
        <v>2476</v>
      </c>
      <c r="D17" s="11">
        <v>74251</v>
      </c>
      <c r="F17" s="5">
        <v>44203</v>
      </c>
      <c r="G17" s="11">
        <v>59993</v>
      </c>
      <c r="H17" s="11">
        <v>2229</v>
      </c>
      <c r="I17" s="11">
        <v>62222</v>
      </c>
      <c r="K17" s="5">
        <v>43475</v>
      </c>
      <c r="L17" s="5">
        <v>44203</v>
      </c>
      <c r="M17" s="11">
        <v>-14530</v>
      </c>
      <c r="N17" s="11">
        <v>-803</v>
      </c>
      <c r="O17" s="11">
        <v>-15333</v>
      </c>
      <c r="P17" s="8">
        <v>-0.19497336392791487</v>
      </c>
      <c r="Q17" s="8">
        <v>-0.26484168865435354</v>
      </c>
      <c r="R17" s="12">
        <v>-0.19770485461930243</v>
      </c>
    </row>
    <row r="18" spans="1:18" x14ac:dyDescent="0.2">
      <c r="A18" s="5">
        <v>43473</v>
      </c>
      <c r="B18" s="11">
        <v>70337</v>
      </c>
      <c r="C18" s="11">
        <v>2802</v>
      </c>
      <c r="D18" s="11">
        <v>73139</v>
      </c>
      <c r="F18" s="5">
        <v>44204</v>
      </c>
      <c r="G18" s="11">
        <v>64468</v>
      </c>
      <c r="H18" s="11">
        <v>2037</v>
      </c>
      <c r="I18" s="11">
        <v>66505</v>
      </c>
      <c r="K18" s="5">
        <v>43476</v>
      </c>
      <c r="L18" s="5">
        <v>44204</v>
      </c>
      <c r="M18" s="11">
        <v>-17085</v>
      </c>
      <c r="N18" s="11">
        <v>-775</v>
      </c>
      <c r="O18" s="11">
        <v>-17860</v>
      </c>
      <c r="P18" s="8">
        <v>-0.20949566539550968</v>
      </c>
      <c r="Q18" s="8">
        <v>-0.27560455192034139</v>
      </c>
      <c r="R18" s="12">
        <v>-0.21169916434540392</v>
      </c>
    </row>
    <row r="19" spans="1:18" x14ac:dyDescent="0.2">
      <c r="A19" s="5">
        <v>43474</v>
      </c>
      <c r="B19" s="11">
        <v>68902</v>
      </c>
      <c r="C19" s="11">
        <v>2863</v>
      </c>
      <c r="D19" s="11">
        <v>71765</v>
      </c>
      <c r="F19" s="5">
        <v>44205</v>
      </c>
      <c r="G19" s="11">
        <v>57385</v>
      </c>
      <c r="H19" s="11">
        <v>626</v>
      </c>
      <c r="I19" s="11">
        <v>58011</v>
      </c>
      <c r="K19" s="5">
        <v>43477</v>
      </c>
      <c r="L19" s="5">
        <v>44205</v>
      </c>
      <c r="M19" s="11">
        <v>-10613</v>
      </c>
      <c r="N19" s="11">
        <v>-285</v>
      </c>
      <c r="O19" s="11">
        <v>-10898</v>
      </c>
      <c r="P19" s="8">
        <v>-0.15607811994470422</v>
      </c>
      <c r="Q19" s="8">
        <v>-0.31284302963776067</v>
      </c>
      <c r="R19" s="12">
        <v>-0.15815060442032247</v>
      </c>
    </row>
    <row r="20" spans="1:18" x14ac:dyDescent="0.2">
      <c r="A20" s="5">
        <v>43475</v>
      </c>
      <c r="B20" s="11">
        <v>74523</v>
      </c>
      <c r="C20" s="11">
        <v>3032</v>
      </c>
      <c r="D20" s="11">
        <v>77555</v>
      </c>
      <c r="F20" s="5">
        <v>44206</v>
      </c>
      <c r="G20" s="11">
        <v>50798</v>
      </c>
      <c r="H20" s="11">
        <v>223</v>
      </c>
      <c r="I20" s="11">
        <v>51021</v>
      </c>
      <c r="K20" s="5">
        <v>43478</v>
      </c>
      <c r="L20" s="5">
        <v>44206</v>
      </c>
      <c r="M20" s="11">
        <v>-5342</v>
      </c>
      <c r="N20" s="11">
        <v>-121</v>
      </c>
      <c r="O20" s="11">
        <v>-5463</v>
      </c>
      <c r="P20" s="8">
        <v>-9.5154969718560745E-2</v>
      </c>
      <c r="Q20" s="8">
        <v>-0.35174418604651159</v>
      </c>
      <c r="R20" s="12">
        <v>-9.6717654557042732E-2</v>
      </c>
    </row>
    <row r="21" spans="1:18" x14ac:dyDescent="0.2">
      <c r="A21" s="5">
        <v>43476</v>
      </c>
      <c r="B21" s="11">
        <v>81553</v>
      </c>
      <c r="C21" s="11">
        <v>2812</v>
      </c>
      <c r="D21" s="11">
        <v>84365</v>
      </c>
      <c r="F21" s="5">
        <v>44207</v>
      </c>
      <c r="G21" s="11">
        <v>68676</v>
      </c>
      <c r="H21" s="11">
        <v>2651</v>
      </c>
      <c r="I21" s="11">
        <v>71327</v>
      </c>
      <c r="K21" s="5">
        <v>43479</v>
      </c>
      <c r="L21" s="5">
        <v>44207</v>
      </c>
      <c r="M21" s="11">
        <v>-6286</v>
      </c>
      <c r="N21" s="11">
        <v>-305</v>
      </c>
      <c r="O21" s="11">
        <v>-6591</v>
      </c>
      <c r="P21" s="8">
        <v>-8.3855820282276339E-2</v>
      </c>
      <c r="Q21" s="8">
        <v>-0.10317997293640058</v>
      </c>
      <c r="R21" s="12">
        <v>-8.4588926820503563E-2</v>
      </c>
    </row>
    <row r="22" spans="1:18" x14ac:dyDescent="0.2">
      <c r="A22" s="5">
        <v>43477</v>
      </c>
      <c r="B22" s="11">
        <v>67998</v>
      </c>
      <c r="C22" s="11">
        <v>911</v>
      </c>
      <c r="D22" s="11">
        <v>68909</v>
      </c>
      <c r="F22" s="5">
        <v>44208</v>
      </c>
      <c r="G22" s="11">
        <v>60957</v>
      </c>
      <c r="H22" s="11">
        <v>2686</v>
      </c>
      <c r="I22" s="11">
        <v>63643</v>
      </c>
      <c r="K22" s="5">
        <v>43480</v>
      </c>
      <c r="L22" s="5">
        <v>44208</v>
      </c>
      <c r="M22" s="11">
        <v>-16583</v>
      </c>
      <c r="N22" s="11">
        <v>-594</v>
      </c>
      <c r="O22" s="11">
        <v>-17177</v>
      </c>
      <c r="P22" s="8">
        <v>-0.21386381222594786</v>
      </c>
      <c r="Q22" s="8">
        <v>-0.18109756097560981</v>
      </c>
      <c r="R22" s="12">
        <v>-0.21253402623113093</v>
      </c>
    </row>
    <row r="23" spans="1:18" x14ac:dyDescent="0.2">
      <c r="A23" s="5">
        <v>43478</v>
      </c>
      <c r="B23" s="11">
        <v>56140</v>
      </c>
      <c r="C23" s="11">
        <v>344</v>
      </c>
      <c r="D23" s="11">
        <v>56484</v>
      </c>
      <c r="F23" s="5">
        <v>44209</v>
      </c>
      <c r="G23" s="11">
        <v>55208</v>
      </c>
      <c r="H23" s="11">
        <v>2636</v>
      </c>
      <c r="I23" s="11">
        <v>57844</v>
      </c>
      <c r="K23" s="5">
        <v>43481</v>
      </c>
      <c r="L23" s="5">
        <v>44209</v>
      </c>
      <c r="M23" s="11">
        <v>-22990</v>
      </c>
      <c r="N23" s="11">
        <v>-663</v>
      </c>
      <c r="O23" s="11">
        <v>-23653</v>
      </c>
      <c r="P23" s="8">
        <v>-0.29399728893322075</v>
      </c>
      <c r="Q23" s="8">
        <v>-0.20096999090633527</v>
      </c>
      <c r="R23" s="12">
        <v>-0.29023154226535941</v>
      </c>
    </row>
    <row r="24" spans="1:18" x14ac:dyDescent="0.2">
      <c r="A24" s="5">
        <v>43479</v>
      </c>
      <c r="B24" s="11">
        <v>74962</v>
      </c>
      <c r="C24" s="11">
        <v>2956</v>
      </c>
      <c r="D24" s="11">
        <v>77918</v>
      </c>
      <c r="F24" s="5">
        <v>44210</v>
      </c>
      <c r="G24" s="11">
        <v>61272</v>
      </c>
      <c r="H24" s="11">
        <v>2914</v>
      </c>
      <c r="I24" s="11">
        <v>64186</v>
      </c>
      <c r="K24" s="5">
        <v>43482</v>
      </c>
      <c r="L24" s="5">
        <v>44210</v>
      </c>
      <c r="M24" s="11">
        <v>-19100</v>
      </c>
      <c r="N24" s="11">
        <v>-289</v>
      </c>
      <c r="O24" s="11">
        <v>-19389</v>
      </c>
      <c r="P24" s="8">
        <v>-0.23764495097795257</v>
      </c>
      <c r="Q24" s="8">
        <v>-9.0227911333125244E-2</v>
      </c>
      <c r="R24" s="12">
        <v>-0.23199521387974875</v>
      </c>
    </row>
    <row r="25" spans="1:18" x14ac:dyDescent="0.2">
      <c r="A25" s="5">
        <v>43480</v>
      </c>
      <c r="B25" s="11">
        <v>77540</v>
      </c>
      <c r="C25" s="11">
        <v>3280</v>
      </c>
      <c r="D25" s="11">
        <v>80820</v>
      </c>
      <c r="F25" s="5">
        <v>44211</v>
      </c>
      <c r="G25" s="11">
        <v>67485</v>
      </c>
      <c r="H25" s="11">
        <v>2632</v>
      </c>
      <c r="I25" s="11">
        <v>70117</v>
      </c>
      <c r="K25" s="5">
        <v>43483</v>
      </c>
      <c r="L25" s="5">
        <v>44211</v>
      </c>
      <c r="M25" s="11">
        <v>-18470</v>
      </c>
      <c r="N25" s="11">
        <v>-413</v>
      </c>
      <c r="O25" s="11">
        <v>-18883</v>
      </c>
      <c r="P25" s="8">
        <v>-0.21487987900645689</v>
      </c>
      <c r="Q25" s="8">
        <v>-0.13563218390804599</v>
      </c>
      <c r="R25" s="12">
        <v>-0.21216853932584268</v>
      </c>
    </row>
    <row r="26" spans="1:18" x14ac:dyDescent="0.2">
      <c r="A26" s="5">
        <v>43481</v>
      </c>
      <c r="B26" s="11">
        <v>78198</v>
      </c>
      <c r="C26" s="11">
        <v>3299</v>
      </c>
      <c r="D26" s="11">
        <v>81497</v>
      </c>
      <c r="F26" s="5">
        <v>44212</v>
      </c>
      <c r="G26" s="11">
        <v>55500</v>
      </c>
      <c r="H26" s="11">
        <v>644</v>
      </c>
      <c r="I26" s="11">
        <v>56144</v>
      </c>
      <c r="K26" s="5">
        <v>43484</v>
      </c>
      <c r="L26" s="5">
        <v>44212</v>
      </c>
      <c r="M26" s="11">
        <v>-14414</v>
      </c>
      <c r="N26" s="11">
        <v>-344</v>
      </c>
      <c r="O26" s="11">
        <v>-14758</v>
      </c>
      <c r="P26" s="8">
        <v>-0.20616757730926571</v>
      </c>
      <c r="Q26" s="8">
        <v>-0.34817813765182182</v>
      </c>
      <c r="R26" s="12">
        <v>-0.20814645567120815</v>
      </c>
    </row>
    <row r="27" spans="1:18" x14ac:dyDescent="0.2">
      <c r="A27" s="5">
        <v>43482</v>
      </c>
      <c r="B27" s="11">
        <v>80372</v>
      </c>
      <c r="C27" s="11">
        <v>3203</v>
      </c>
      <c r="D27" s="11">
        <v>83575</v>
      </c>
      <c r="F27" s="5">
        <v>44213</v>
      </c>
      <c r="G27" s="11">
        <v>41562</v>
      </c>
      <c r="H27" s="11">
        <v>194</v>
      </c>
      <c r="I27" s="11">
        <v>41756</v>
      </c>
      <c r="K27" s="5">
        <v>43485</v>
      </c>
      <c r="L27" s="5">
        <v>44213</v>
      </c>
      <c r="M27" s="11">
        <v>-18370</v>
      </c>
      <c r="N27" s="11">
        <v>-158</v>
      </c>
      <c r="O27" s="11">
        <v>-18528</v>
      </c>
      <c r="P27" s="8">
        <v>-0.30651404925582326</v>
      </c>
      <c r="Q27" s="8">
        <v>-0.44886363636363635</v>
      </c>
      <c r="R27" s="12">
        <v>-0.307345232565855</v>
      </c>
    </row>
    <row r="28" spans="1:18" x14ac:dyDescent="0.2">
      <c r="A28" s="5">
        <v>43483</v>
      </c>
      <c r="B28" s="11">
        <v>85955</v>
      </c>
      <c r="C28" s="11">
        <v>3045</v>
      </c>
      <c r="D28" s="11">
        <v>89000</v>
      </c>
      <c r="F28" s="5">
        <v>44214</v>
      </c>
      <c r="G28" s="11">
        <v>61706</v>
      </c>
      <c r="H28" s="11">
        <v>2653</v>
      </c>
      <c r="I28" s="11">
        <v>64359</v>
      </c>
      <c r="K28" s="5">
        <v>43486</v>
      </c>
      <c r="L28" s="5">
        <v>44214</v>
      </c>
      <c r="M28" s="11">
        <v>-12347</v>
      </c>
      <c r="N28" s="11">
        <v>-328</v>
      </c>
      <c r="O28" s="11">
        <v>-12675</v>
      </c>
      <c r="P28" s="8">
        <v>-0.1667319352355745</v>
      </c>
      <c r="Q28" s="8">
        <v>-0.11003019121100299</v>
      </c>
      <c r="R28" s="12">
        <v>-0.16453773658384607</v>
      </c>
    </row>
    <row r="29" spans="1:18" x14ac:dyDescent="0.2">
      <c r="A29" s="5">
        <v>43484</v>
      </c>
      <c r="B29" s="11">
        <v>69914</v>
      </c>
      <c r="C29" s="11">
        <v>988</v>
      </c>
      <c r="D29" s="11">
        <v>70902</v>
      </c>
      <c r="F29" s="5">
        <v>44215</v>
      </c>
      <c r="G29" s="11">
        <v>63586</v>
      </c>
      <c r="H29" s="11">
        <v>2877</v>
      </c>
      <c r="I29" s="11">
        <v>66463</v>
      </c>
      <c r="K29" s="5">
        <v>43487</v>
      </c>
      <c r="L29" s="5">
        <v>44215</v>
      </c>
      <c r="M29" s="11">
        <v>-12029</v>
      </c>
      <c r="N29" s="11">
        <v>-400</v>
      </c>
      <c r="O29" s="11">
        <v>-12429</v>
      </c>
      <c r="P29" s="8">
        <v>-0.15908219268663626</v>
      </c>
      <c r="Q29" s="8">
        <v>-0.12206286237412267</v>
      </c>
      <c r="R29" s="12">
        <v>-0.15754449120316383</v>
      </c>
    </row>
    <row r="30" spans="1:18" x14ac:dyDescent="0.2">
      <c r="A30" s="5">
        <v>43485</v>
      </c>
      <c r="B30" s="11">
        <v>59932</v>
      </c>
      <c r="C30" s="11">
        <v>352</v>
      </c>
      <c r="D30" s="11">
        <v>60284</v>
      </c>
      <c r="F30" s="5">
        <v>44216</v>
      </c>
      <c r="G30" s="11">
        <v>59502</v>
      </c>
      <c r="H30" s="11">
        <v>2847</v>
      </c>
      <c r="I30" s="11">
        <v>62349</v>
      </c>
      <c r="K30" s="5">
        <v>43488</v>
      </c>
      <c r="L30" s="5">
        <v>44216</v>
      </c>
      <c r="M30" s="11">
        <v>-13060</v>
      </c>
      <c r="N30" s="11">
        <v>-509</v>
      </c>
      <c r="O30" s="11">
        <v>-13569</v>
      </c>
      <c r="P30" s="8">
        <v>-0.17998401367106753</v>
      </c>
      <c r="Q30" s="8">
        <v>-0.15166865315852207</v>
      </c>
      <c r="R30" s="12">
        <v>-0.17873231644669252</v>
      </c>
    </row>
    <row r="31" spans="1:18" x14ac:dyDescent="0.2">
      <c r="A31" s="5">
        <v>43486</v>
      </c>
      <c r="B31" s="11">
        <v>74053</v>
      </c>
      <c r="C31" s="11">
        <v>2981</v>
      </c>
      <c r="D31" s="11">
        <v>77034</v>
      </c>
      <c r="F31" s="5">
        <v>44217</v>
      </c>
      <c r="G31" s="11">
        <v>59028</v>
      </c>
      <c r="H31" s="11">
        <v>3110</v>
      </c>
      <c r="I31" s="11">
        <v>62138</v>
      </c>
      <c r="K31" s="5">
        <v>43489</v>
      </c>
      <c r="L31" s="5">
        <v>44217</v>
      </c>
      <c r="M31" s="11">
        <v>-20975</v>
      </c>
      <c r="N31" s="11">
        <v>-356</v>
      </c>
      <c r="O31" s="11">
        <v>-21331</v>
      </c>
      <c r="P31" s="8">
        <v>-0.26217766833743739</v>
      </c>
      <c r="Q31" s="8">
        <v>-0.10271206001154065</v>
      </c>
      <c r="R31" s="12">
        <v>-0.25555595490541394</v>
      </c>
    </row>
    <row r="32" spans="1:18" x14ac:dyDescent="0.2">
      <c r="A32" s="5">
        <v>43487</v>
      </c>
      <c r="B32" s="11">
        <v>75615</v>
      </c>
      <c r="C32" s="11">
        <v>3277</v>
      </c>
      <c r="D32" s="11">
        <v>78892</v>
      </c>
      <c r="F32" s="5">
        <v>44218</v>
      </c>
      <c r="G32" s="11">
        <v>63912</v>
      </c>
      <c r="H32" s="11">
        <v>2651</v>
      </c>
      <c r="I32" s="11">
        <v>66563</v>
      </c>
      <c r="K32" s="5">
        <v>43490</v>
      </c>
      <c r="L32" s="5">
        <v>44218</v>
      </c>
      <c r="M32" s="11">
        <v>-23336</v>
      </c>
      <c r="N32" s="11">
        <v>-328</v>
      </c>
      <c r="O32" s="11">
        <v>-23664</v>
      </c>
      <c r="P32" s="8">
        <v>-0.26746744911058129</v>
      </c>
      <c r="Q32" s="8">
        <v>-0.11010406176569321</v>
      </c>
      <c r="R32" s="12">
        <v>-0.2622718255067773</v>
      </c>
    </row>
    <row r="33" spans="1:18" x14ac:dyDescent="0.2">
      <c r="A33" s="5">
        <v>43488</v>
      </c>
      <c r="B33" s="11">
        <v>72562</v>
      </c>
      <c r="C33" s="11">
        <v>3356</v>
      </c>
      <c r="D33" s="11">
        <v>75918</v>
      </c>
      <c r="F33" s="5">
        <v>44219</v>
      </c>
      <c r="G33" s="11">
        <v>48285</v>
      </c>
      <c r="H33" s="11">
        <v>566</v>
      </c>
      <c r="I33" s="11">
        <v>48851</v>
      </c>
      <c r="K33" s="5">
        <v>43491</v>
      </c>
      <c r="L33" s="5">
        <v>44219</v>
      </c>
      <c r="M33" s="11">
        <v>-24758</v>
      </c>
      <c r="N33" s="11">
        <v>-525</v>
      </c>
      <c r="O33" s="11">
        <v>-25283</v>
      </c>
      <c r="P33" s="8">
        <v>-0.33895102884602224</v>
      </c>
      <c r="Q33" s="8">
        <v>-0.48120989917506873</v>
      </c>
      <c r="R33" s="12">
        <v>-0.34104459492270756</v>
      </c>
    </row>
    <row r="34" spans="1:18" x14ac:dyDescent="0.2">
      <c r="A34" s="5">
        <v>43489</v>
      </c>
      <c r="B34" s="11">
        <v>80003</v>
      </c>
      <c r="C34" s="11">
        <v>3466</v>
      </c>
      <c r="D34" s="11">
        <v>83469</v>
      </c>
      <c r="F34" s="5">
        <v>44220</v>
      </c>
      <c r="G34" s="11">
        <v>51355</v>
      </c>
      <c r="H34" s="11">
        <v>247</v>
      </c>
      <c r="I34" s="11">
        <v>51602</v>
      </c>
      <c r="K34" s="5">
        <v>43492</v>
      </c>
      <c r="L34" s="5">
        <v>44220</v>
      </c>
      <c r="M34" s="11">
        <v>-10030</v>
      </c>
      <c r="N34" s="11">
        <v>-98</v>
      </c>
      <c r="O34" s="11">
        <v>-10128</v>
      </c>
      <c r="P34" s="8">
        <v>-0.16339496619695371</v>
      </c>
      <c r="Q34" s="8">
        <v>-0.28405797101449271</v>
      </c>
      <c r="R34" s="12">
        <v>-0.16406933419731085</v>
      </c>
    </row>
    <row r="35" spans="1:18" x14ac:dyDescent="0.2">
      <c r="A35" s="5">
        <v>43490</v>
      </c>
      <c r="B35" s="11">
        <v>87248</v>
      </c>
      <c r="C35" s="11">
        <v>2979</v>
      </c>
      <c r="D35" s="11">
        <v>90227</v>
      </c>
      <c r="F35" s="5">
        <v>44221</v>
      </c>
      <c r="G35" s="11">
        <v>53105</v>
      </c>
      <c r="H35" s="11">
        <v>2855</v>
      </c>
      <c r="I35" s="11">
        <v>55960</v>
      </c>
      <c r="K35" s="5">
        <v>43493</v>
      </c>
      <c r="L35" s="5">
        <v>44221</v>
      </c>
      <c r="M35" s="11">
        <f>G35-B38</f>
        <v>-21166</v>
      </c>
      <c r="N35" s="11">
        <f t="shared" ref="N35:O41" si="0">H35-C38</f>
        <v>-356</v>
      </c>
      <c r="O35" s="11">
        <f t="shared" si="0"/>
        <v>-21522</v>
      </c>
      <c r="P35" s="8">
        <f>G35/B38-1</f>
        <v>-0.28498337170631871</v>
      </c>
      <c r="Q35" s="8">
        <f t="shared" ref="Q35:R41" si="1">H35/C38-1</f>
        <v>-0.11086888819682339</v>
      </c>
      <c r="R35" s="12">
        <f t="shared" si="1"/>
        <v>-0.27776773960403711</v>
      </c>
    </row>
    <row r="36" spans="1:18" x14ac:dyDescent="0.2">
      <c r="A36" s="5">
        <v>43491</v>
      </c>
      <c r="B36" s="11">
        <v>73043</v>
      </c>
      <c r="C36" s="11">
        <v>1091</v>
      </c>
      <c r="D36" s="11">
        <v>74134</v>
      </c>
      <c r="F36" s="5">
        <v>44222</v>
      </c>
      <c r="G36" s="11">
        <v>66029</v>
      </c>
      <c r="H36" s="11">
        <v>2749</v>
      </c>
      <c r="I36" s="11">
        <v>68778</v>
      </c>
      <c r="K36" s="5">
        <v>43494</v>
      </c>
      <c r="L36" s="5">
        <v>44222</v>
      </c>
      <c r="M36" s="11">
        <f t="shared" ref="M36:M41" si="2">G36-B39</f>
        <v>-10024</v>
      </c>
      <c r="N36" s="11">
        <f t="shared" si="0"/>
        <v>-494</v>
      </c>
      <c r="O36" s="11">
        <f t="shared" si="0"/>
        <v>-10518</v>
      </c>
      <c r="P36" s="8">
        <f t="shared" ref="P36:P41" si="3">G36/B39-1</f>
        <v>-0.13180282171643454</v>
      </c>
      <c r="Q36" s="8">
        <f t="shared" si="1"/>
        <v>-0.15232809127351221</v>
      </c>
      <c r="R36" s="12">
        <f t="shared" si="1"/>
        <v>-0.13264225181598066</v>
      </c>
    </row>
    <row r="37" spans="1:18" x14ac:dyDescent="0.2">
      <c r="A37" s="5">
        <v>43492</v>
      </c>
      <c r="B37" s="11">
        <v>61385</v>
      </c>
      <c r="C37" s="11">
        <v>345</v>
      </c>
      <c r="D37" s="11">
        <v>61730</v>
      </c>
      <c r="F37" s="5">
        <v>44223</v>
      </c>
      <c r="G37" s="11">
        <v>58789</v>
      </c>
      <c r="H37" s="11">
        <v>2856</v>
      </c>
      <c r="I37" s="11">
        <v>61645</v>
      </c>
      <c r="K37" s="5">
        <v>43495</v>
      </c>
      <c r="L37" s="5">
        <v>44223</v>
      </c>
      <c r="M37" s="11">
        <f t="shared" si="2"/>
        <v>-13610</v>
      </c>
      <c r="N37" s="11">
        <f t="shared" si="0"/>
        <v>-361</v>
      </c>
      <c r="O37" s="11">
        <f t="shared" si="0"/>
        <v>-13971</v>
      </c>
      <c r="P37" s="8">
        <f t="shared" si="3"/>
        <v>-0.18798602190637992</v>
      </c>
      <c r="Q37" s="8">
        <f t="shared" si="1"/>
        <v>-0.11221635063723967</v>
      </c>
      <c r="R37" s="12">
        <f t="shared" si="1"/>
        <v>-0.1847624841303428</v>
      </c>
    </row>
    <row r="38" spans="1:18" x14ac:dyDescent="0.2">
      <c r="A38" s="5">
        <v>43493</v>
      </c>
      <c r="B38" s="11">
        <v>74271</v>
      </c>
      <c r="C38" s="11">
        <v>3211</v>
      </c>
      <c r="D38" s="11">
        <v>77482</v>
      </c>
      <c r="F38" s="5">
        <v>44224</v>
      </c>
      <c r="G38" s="11">
        <v>59543</v>
      </c>
      <c r="H38" s="11">
        <v>3085</v>
      </c>
      <c r="I38" s="11">
        <v>62628</v>
      </c>
      <c r="K38" s="5">
        <v>43496</v>
      </c>
      <c r="L38" s="5">
        <v>44224</v>
      </c>
      <c r="M38" s="11">
        <f t="shared" si="2"/>
        <v>-18699</v>
      </c>
      <c r="N38" s="11">
        <f t="shared" si="0"/>
        <v>-190</v>
      </c>
      <c r="O38" s="11">
        <f t="shared" si="0"/>
        <v>-18889</v>
      </c>
      <c r="P38" s="8">
        <f t="shared" si="3"/>
        <v>-0.23898928963983535</v>
      </c>
      <c r="Q38" s="8">
        <f t="shared" si="1"/>
        <v>-5.8015267175572482E-2</v>
      </c>
      <c r="R38" s="12">
        <f t="shared" si="1"/>
        <v>-0.23171853723763136</v>
      </c>
    </row>
    <row r="39" spans="1:18" x14ac:dyDescent="0.2">
      <c r="A39" s="5">
        <v>43494</v>
      </c>
      <c r="B39" s="11">
        <v>76053</v>
      </c>
      <c r="C39" s="11">
        <v>3243</v>
      </c>
      <c r="D39" s="11">
        <v>79296</v>
      </c>
      <c r="F39" s="5">
        <v>44225</v>
      </c>
      <c r="G39" s="11">
        <v>67474</v>
      </c>
      <c r="H39" s="11">
        <v>2768</v>
      </c>
      <c r="I39" s="11">
        <v>70242</v>
      </c>
      <c r="K39" s="5">
        <v>43497</v>
      </c>
      <c r="L39" s="5">
        <v>44225</v>
      </c>
      <c r="M39" s="11">
        <f t="shared" si="2"/>
        <v>-9458</v>
      </c>
      <c r="N39" s="11">
        <f t="shared" si="0"/>
        <v>-126</v>
      </c>
      <c r="O39" s="11">
        <f t="shared" si="0"/>
        <v>-9584</v>
      </c>
      <c r="P39" s="8">
        <f t="shared" si="3"/>
        <v>-0.1229397389902771</v>
      </c>
      <c r="Q39" s="8">
        <f t="shared" si="1"/>
        <v>-4.3538355217691782E-2</v>
      </c>
      <c r="R39" s="12">
        <f t="shared" si="1"/>
        <v>-0.12006113296419718</v>
      </c>
    </row>
    <row r="40" spans="1:18" x14ac:dyDescent="0.2">
      <c r="A40" s="5">
        <v>43495</v>
      </c>
      <c r="B40" s="11">
        <v>72399</v>
      </c>
      <c r="C40" s="11">
        <v>3217</v>
      </c>
      <c r="D40" s="11">
        <v>75616</v>
      </c>
      <c r="F40" s="5">
        <v>44226</v>
      </c>
      <c r="G40" s="11">
        <v>50138</v>
      </c>
      <c r="H40" s="11">
        <v>572</v>
      </c>
      <c r="I40" s="11">
        <v>50710</v>
      </c>
      <c r="K40" s="5">
        <v>43498</v>
      </c>
      <c r="L40" s="5">
        <v>44226</v>
      </c>
      <c r="M40" s="11">
        <f t="shared" si="2"/>
        <v>-19312</v>
      </c>
      <c r="N40" s="11">
        <f t="shared" si="0"/>
        <v>-452</v>
      </c>
      <c r="O40" s="11">
        <f t="shared" si="0"/>
        <v>-19764</v>
      </c>
      <c r="P40" s="8">
        <f t="shared" si="3"/>
        <v>-0.27807055435565153</v>
      </c>
      <c r="Q40" s="8">
        <f t="shared" si="1"/>
        <v>-0.44140625</v>
      </c>
      <c r="R40" s="12">
        <f t="shared" si="1"/>
        <v>-0.28044385163322649</v>
      </c>
    </row>
    <row r="41" spans="1:18" x14ac:dyDescent="0.2">
      <c r="A41" s="5">
        <v>43496</v>
      </c>
      <c r="B41" s="11">
        <v>78242</v>
      </c>
      <c r="C41" s="11">
        <v>3275</v>
      </c>
      <c r="D41" s="11">
        <v>81517</v>
      </c>
      <c r="F41" s="5">
        <v>44227</v>
      </c>
      <c r="G41" s="11">
        <v>46370</v>
      </c>
      <c r="H41" s="11">
        <v>226</v>
      </c>
      <c r="I41" s="11">
        <v>46596</v>
      </c>
      <c r="K41" s="5">
        <v>43499</v>
      </c>
      <c r="L41" s="5">
        <v>44227</v>
      </c>
      <c r="M41" s="11">
        <f t="shared" si="2"/>
        <v>-13197</v>
      </c>
      <c r="N41" s="11">
        <f t="shared" si="0"/>
        <v>-77</v>
      </c>
      <c r="O41" s="11">
        <f t="shared" si="0"/>
        <v>-13274</v>
      </c>
      <c r="P41" s="8">
        <f t="shared" si="3"/>
        <v>-0.22154884415867848</v>
      </c>
      <c r="Q41" s="8">
        <f t="shared" si="1"/>
        <v>-0.25412541254125409</v>
      </c>
      <c r="R41" s="12">
        <f t="shared" si="1"/>
        <v>-0.2217137130449307</v>
      </c>
    </row>
    <row r="42" spans="1:18" x14ac:dyDescent="0.2">
      <c r="A42" s="5">
        <v>43497</v>
      </c>
      <c r="B42" s="11">
        <v>76932</v>
      </c>
      <c r="C42" s="11">
        <v>2894</v>
      </c>
      <c r="D42" s="11">
        <v>79826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">
      <c r="A43" s="5">
        <v>43498</v>
      </c>
      <c r="B43" s="11">
        <v>69450</v>
      </c>
      <c r="C43" s="11">
        <v>1024</v>
      </c>
      <c r="D43" s="11">
        <v>70474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">
      <c r="A44" s="5">
        <v>43499</v>
      </c>
      <c r="B44" s="11">
        <v>59567</v>
      </c>
      <c r="C44" s="11">
        <v>303</v>
      </c>
      <c r="D44" s="11">
        <v>59870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">
      <c r="A45" s="5"/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3" t="s">
        <v>26</v>
      </c>
      <c r="B47" s="6"/>
      <c r="C47" s="6"/>
      <c r="D47" s="3"/>
      <c r="F47" s="23" t="s">
        <v>26</v>
      </c>
      <c r="G47" s="6"/>
      <c r="H47" s="6"/>
      <c r="I47" s="3"/>
      <c r="K47" s="23" t="s">
        <v>27</v>
      </c>
      <c r="L47" s="23"/>
      <c r="M47" s="6"/>
      <c r="N47" s="6"/>
      <c r="O47" s="3"/>
      <c r="P47" s="6"/>
      <c r="Q47" s="6"/>
      <c r="R47" s="3"/>
    </row>
    <row r="48" spans="1:18" ht="26.45" customHeight="1" x14ac:dyDescent="0.2">
      <c r="A48" s="24"/>
      <c r="B48" s="7" t="s">
        <v>38</v>
      </c>
      <c r="C48" s="4" t="s">
        <v>2</v>
      </c>
      <c r="D48" s="4" t="s">
        <v>0</v>
      </c>
      <c r="F48" s="24"/>
      <c r="G48" s="7" t="s">
        <v>38</v>
      </c>
      <c r="H48" s="4" t="s">
        <v>2</v>
      </c>
      <c r="I48" s="4" t="s">
        <v>0</v>
      </c>
      <c r="K48" s="24"/>
      <c r="L48" s="24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2">
      <c r="A49" s="5">
        <v>43466</v>
      </c>
      <c r="B49" s="11">
        <v>24673</v>
      </c>
      <c r="C49" s="11">
        <v>82</v>
      </c>
      <c r="D49" s="11">
        <v>24755</v>
      </c>
      <c r="F49" s="5">
        <v>44197</v>
      </c>
      <c r="G49" s="11">
        <v>16833</v>
      </c>
      <c r="H49" s="11">
        <v>46</v>
      </c>
      <c r="I49" s="11">
        <v>16879</v>
      </c>
      <c r="K49" s="5">
        <v>43469</v>
      </c>
      <c r="L49" s="5">
        <v>44197</v>
      </c>
      <c r="M49" s="11">
        <v>-21557</v>
      </c>
      <c r="N49" s="11">
        <v>-1018</v>
      </c>
      <c r="O49" s="11">
        <v>-22575</v>
      </c>
      <c r="P49" s="8">
        <v>-0.56152643917686895</v>
      </c>
      <c r="Q49" s="8">
        <v>-0.95676691729323304</v>
      </c>
      <c r="R49" s="12">
        <v>-0.57218532975110259</v>
      </c>
    </row>
    <row r="50" spans="1:18" x14ac:dyDescent="0.2">
      <c r="A50" s="5">
        <v>43467</v>
      </c>
      <c r="B50" s="11">
        <v>34186</v>
      </c>
      <c r="C50" s="11">
        <v>374</v>
      </c>
      <c r="D50" s="11">
        <v>34560</v>
      </c>
      <c r="F50" s="5">
        <v>44198</v>
      </c>
      <c r="G50" s="11">
        <v>29340</v>
      </c>
      <c r="H50" s="11">
        <v>177</v>
      </c>
      <c r="I50" s="11">
        <v>29517</v>
      </c>
      <c r="K50" s="5">
        <v>43470</v>
      </c>
      <c r="L50" s="5">
        <v>44198</v>
      </c>
      <c r="M50" s="11">
        <v>-8555</v>
      </c>
      <c r="N50" s="11">
        <v>-263</v>
      </c>
      <c r="O50" s="11">
        <v>-8818</v>
      </c>
      <c r="P50" s="8">
        <v>-0.22575537669877288</v>
      </c>
      <c r="Q50" s="8">
        <v>-0.59772727272727266</v>
      </c>
      <c r="R50" s="12">
        <v>-0.23002478153123773</v>
      </c>
    </row>
    <row r="51" spans="1:18" x14ac:dyDescent="0.2">
      <c r="A51" s="5">
        <v>43468</v>
      </c>
      <c r="B51" s="11">
        <v>34227</v>
      </c>
      <c r="C51" s="11">
        <v>1085</v>
      </c>
      <c r="D51" s="11">
        <v>35312</v>
      </c>
      <c r="F51" s="5">
        <v>44199</v>
      </c>
      <c r="G51" s="11">
        <v>27334</v>
      </c>
      <c r="H51" s="11">
        <v>91</v>
      </c>
      <c r="I51" s="11">
        <v>27425</v>
      </c>
      <c r="K51" s="5">
        <v>43471</v>
      </c>
      <c r="L51" s="5">
        <v>44199</v>
      </c>
      <c r="M51" s="11">
        <v>-5315</v>
      </c>
      <c r="N51" s="11">
        <v>-105</v>
      </c>
      <c r="O51" s="11">
        <v>-5420</v>
      </c>
      <c r="P51" s="8">
        <v>-0.16279212227020734</v>
      </c>
      <c r="Q51" s="8">
        <v>-0.5357142857142857</v>
      </c>
      <c r="R51" s="12">
        <v>-0.1650175064697823</v>
      </c>
    </row>
    <row r="52" spans="1:18" x14ac:dyDescent="0.2">
      <c r="A52" s="5">
        <v>43469</v>
      </c>
      <c r="B52" s="11">
        <v>38390</v>
      </c>
      <c r="C52" s="11">
        <v>1064</v>
      </c>
      <c r="D52" s="11">
        <v>39454</v>
      </c>
      <c r="F52" s="5">
        <v>44200</v>
      </c>
      <c r="G52" s="11">
        <v>27730</v>
      </c>
      <c r="H52" s="11">
        <v>901</v>
      </c>
      <c r="I52" s="11">
        <v>28631</v>
      </c>
      <c r="K52" s="5">
        <v>43472</v>
      </c>
      <c r="L52" s="5">
        <v>44200</v>
      </c>
      <c r="M52" s="11">
        <v>-8629</v>
      </c>
      <c r="N52" s="11">
        <v>-319</v>
      </c>
      <c r="O52" s="11">
        <v>-8948</v>
      </c>
      <c r="P52" s="8">
        <v>-0.23732775928930938</v>
      </c>
      <c r="Q52" s="8">
        <v>-0.26147540983606554</v>
      </c>
      <c r="R52" s="12">
        <v>-0.23811171132813536</v>
      </c>
    </row>
    <row r="53" spans="1:18" x14ac:dyDescent="0.2">
      <c r="A53" s="5">
        <v>43470</v>
      </c>
      <c r="B53" s="11">
        <v>37895</v>
      </c>
      <c r="C53" s="11">
        <v>440</v>
      </c>
      <c r="D53" s="11">
        <v>38335</v>
      </c>
      <c r="F53" s="5">
        <v>44201</v>
      </c>
      <c r="G53" s="11">
        <v>27286</v>
      </c>
      <c r="H53" s="11">
        <v>1060</v>
      </c>
      <c r="I53" s="11">
        <v>28346</v>
      </c>
      <c r="K53" s="5">
        <v>43473</v>
      </c>
      <c r="L53" s="5">
        <v>44201</v>
      </c>
      <c r="M53" s="11">
        <v>-8209</v>
      </c>
      <c r="N53" s="11">
        <v>-271</v>
      </c>
      <c r="O53" s="11">
        <v>-8480</v>
      </c>
      <c r="P53" s="8">
        <v>-0.23127201014227361</v>
      </c>
      <c r="Q53" s="8">
        <v>-0.20360631104432758</v>
      </c>
      <c r="R53" s="12">
        <v>-0.23027209037093355</v>
      </c>
    </row>
    <row r="54" spans="1:18" x14ac:dyDescent="0.2">
      <c r="A54" s="5">
        <v>43471</v>
      </c>
      <c r="B54" s="11">
        <v>32649</v>
      </c>
      <c r="C54" s="11">
        <v>196</v>
      </c>
      <c r="D54" s="11">
        <v>32845</v>
      </c>
      <c r="F54" s="5">
        <v>44202</v>
      </c>
      <c r="G54" s="11">
        <v>27908</v>
      </c>
      <c r="H54" s="11">
        <v>1030</v>
      </c>
      <c r="I54" s="11">
        <v>28938</v>
      </c>
      <c r="K54" s="5">
        <v>43474</v>
      </c>
      <c r="L54" s="5">
        <v>44202</v>
      </c>
      <c r="M54" s="11">
        <v>-6903</v>
      </c>
      <c r="N54" s="11">
        <v>-355</v>
      </c>
      <c r="O54" s="11">
        <v>-7258</v>
      </c>
      <c r="P54" s="8">
        <v>-0.19829938812444348</v>
      </c>
      <c r="Q54" s="8">
        <v>-0.2563176895306859</v>
      </c>
      <c r="R54" s="12">
        <v>-0.20051939440822186</v>
      </c>
    </row>
    <row r="55" spans="1:18" x14ac:dyDescent="0.2">
      <c r="A55" s="5">
        <v>43472</v>
      </c>
      <c r="B55" s="11">
        <v>36359</v>
      </c>
      <c r="C55" s="11">
        <v>1220</v>
      </c>
      <c r="D55" s="11">
        <v>37579</v>
      </c>
      <c r="F55" s="5">
        <v>44203</v>
      </c>
      <c r="G55" s="11">
        <v>30070</v>
      </c>
      <c r="H55" s="11">
        <v>1090</v>
      </c>
      <c r="I55" s="11">
        <v>31160</v>
      </c>
      <c r="K55" s="5">
        <v>43475</v>
      </c>
      <c r="L55" s="5">
        <v>44203</v>
      </c>
      <c r="M55" s="11">
        <v>-7477</v>
      </c>
      <c r="N55" s="11">
        <v>-384</v>
      </c>
      <c r="O55" s="11">
        <v>-7861</v>
      </c>
      <c r="P55" s="8">
        <v>-0.19913708152448928</v>
      </c>
      <c r="Q55" s="8">
        <v>-0.26051560379918592</v>
      </c>
      <c r="R55" s="12">
        <v>-0.20145562645754855</v>
      </c>
    </row>
    <row r="56" spans="1:18" x14ac:dyDescent="0.2">
      <c r="A56" s="5">
        <v>43473</v>
      </c>
      <c r="B56" s="11">
        <v>35495</v>
      </c>
      <c r="C56" s="11">
        <v>1331</v>
      </c>
      <c r="D56" s="11">
        <v>36826</v>
      </c>
      <c r="F56" s="5">
        <v>44204</v>
      </c>
      <c r="G56" s="11">
        <v>32127</v>
      </c>
      <c r="H56" s="11">
        <v>980</v>
      </c>
      <c r="I56" s="11">
        <v>33107</v>
      </c>
      <c r="K56" s="5">
        <v>43476</v>
      </c>
      <c r="L56" s="5">
        <v>44204</v>
      </c>
      <c r="M56" s="11">
        <v>-8954</v>
      </c>
      <c r="N56" s="11">
        <v>-373</v>
      </c>
      <c r="O56" s="11">
        <v>-9327</v>
      </c>
      <c r="P56" s="8">
        <v>-0.21795964070981722</v>
      </c>
      <c r="Q56" s="8">
        <v>-0.27568366592756832</v>
      </c>
      <c r="R56" s="12">
        <v>-0.21980016024885707</v>
      </c>
    </row>
    <row r="57" spans="1:18" x14ac:dyDescent="0.2">
      <c r="A57" s="5">
        <v>43474</v>
      </c>
      <c r="B57" s="11">
        <v>34811</v>
      </c>
      <c r="C57" s="11">
        <v>1385</v>
      </c>
      <c r="D57" s="11">
        <v>36196</v>
      </c>
      <c r="F57" s="5">
        <v>44205</v>
      </c>
      <c r="G57" s="11">
        <v>26800</v>
      </c>
      <c r="H57" s="11">
        <v>297</v>
      </c>
      <c r="I57" s="11">
        <v>27097</v>
      </c>
      <c r="K57" s="5">
        <v>43477</v>
      </c>
      <c r="L57" s="5">
        <v>44205</v>
      </c>
      <c r="M57" s="11">
        <v>-7587</v>
      </c>
      <c r="N57" s="11">
        <v>-123</v>
      </c>
      <c r="O57" s="11">
        <v>-7710</v>
      </c>
      <c r="P57" s="8">
        <v>-0.22063570535376742</v>
      </c>
      <c r="Q57" s="8">
        <v>-0.29285714285714282</v>
      </c>
      <c r="R57" s="12">
        <v>-0.22150716809837101</v>
      </c>
    </row>
    <row r="58" spans="1:18" x14ac:dyDescent="0.2">
      <c r="A58" s="5">
        <v>43475</v>
      </c>
      <c r="B58" s="11">
        <v>37547</v>
      </c>
      <c r="C58" s="11">
        <v>1474</v>
      </c>
      <c r="D58" s="11">
        <v>39021</v>
      </c>
      <c r="F58" s="5">
        <v>44206</v>
      </c>
      <c r="G58" s="11">
        <v>24986</v>
      </c>
      <c r="H58" s="11">
        <v>126</v>
      </c>
      <c r="I58" s="11">
        <v>25112</v>
      </c>
      <c r="K58" s="5">
        <v>43478</v>
      </c>
      <c r="L58" s="5">
        <v>44206</v>
      </c>
      <c r="M58" s="11">
        <v>-2983</v>
      </c>
      <c r="N58" s="11">
        <v>-31</v>
      </c>
      <c r="O58" s="11">
        <v>-3014</v>
      </c>
      <c r="P58" s="8">
        <v>-0.10665379527333829</v>
      </c>
      <c r="Q58" s="8">
        <v>-0.19745222929936301</v>
      </c>
      <c r="R58" s="12">
        <v>-0.1071606342885586</v>
      </c>
    </row>
    <row r="59" spans="1:18" x14ac:dyDescent="0.2">
      <c r="A59" s="5">
        <v>43476</v>
      </c>
      <c r="B59" s="11">
        <v>41081</v>
      </c>
      <c r="C59" s="11">
        <v>1353</v>
      </c>
      <c r="D59" s="11">
        <v>42434</v>
      </c>
      <c r="F59" s="5">
        <v>44207</v>
      </c>
      <c r="G59" s="11">
        <v>34189</v>
      </c>
      <c r="H59" s="11">
        <v>1294</v>
      </c>
      <c r="I59" s="11">
        <v>35483</v>
      </c>
      <c r="K59" s="5">
        <v>43479</v>
      </c>
      <c r="L59" s="5">
        <v>44207</v>
      </c>
      <c r="M59" s="11">
        <v>-3624</v>
      </c>
      <c r="N59" s="11">
        <v>-150</v>
      </c>
      <c r="O59" s="11">
        <v>-3774</v>
      </c>
      <c r="P59" s="8">
        <v>-9.5840055007537117E-2</v>
      </c>
      <c r="Q59" s="8">
        <v>-0.10387811634349031</v>
      </c>
      <c r="R59" s="12">
        <v>-9.6135721017907683E-2</v>
      </c>
    </row>
    <row r="60" spans="1:18" x14ac:dyDescent="0.2">
      <c r="A60" s="5">
        <v>43477</v>
      </c>
      <c r="B60" s="11">
        <v>34387</v>
      </c>
      <c r="C60" s="11">
        <v>420</v>
      </c>
      <c r="D60" s="11">
        <v>34807</v>
      </c>
      <c r="F60" s="5">
        <v>44208</v>
      </c>
      <c r="G60" s="11">
        <v>30085</v>
      </c>
      <c r="H60" s="11">
        <v>1312</v>
      </c>
      <c r="I60" s="11">
        <v>31397</v>
      </c>
      <c r="K60" s="5">
        <v>43480</v>
      </c>
      <c r="L60" s="5">
        <v>44208</v>
      </c>
      <c r="M60" s="11">
        <v>-8641</v>
      </c>
      <c r="N60" s="11">
        <v>-274</v>
      </c>
      <c r="O60" s="11">
        <v>-8915</v>
      </c>
      <c r="P60" s="8">
        <v>-0.223131746113722</v>
      </c>
      <c r="Q60" s="8">
        <v>-0.17276166456494324</v>
      </c>
      <c r="R60" s="12">
        <v>-0.22115002976781106</v>
      </c>
    </row>
    <row r="61" spans="1:18" x14ac:dyDescent="0.2">
      <c r="A61" s="5">
        <v>43478</v>
      </c>
      <c r="B61" s="11">
        <v>27969</v>
      </c>
      <c r="C61" s="11">
        <v>157</v>
      </c>
      <c r="D61" s="11">
        <v>28126</v>
      </c>
      <c r="F61" s="5">
        <v>44209</v>
      </c>
      <c r="G61" s="11">
        <v>27234</v>
      </c>
      <c r="H61" s="11">
        <v>1311</v>
      </c>
      <c r="I61" s="11">
        <v>28545</v>
      </c>
      <c r="K61" s="5">
        <v>43481</v>
      </c>
      <c r="L61" s="5">
        <v>44209</v>
      </c>
      <c r="M61" s="11">
        <v>-11835</v>
      </c>
      <c r="N61" s="11">
        <v>-313</v>
      </c>
      <c r="O61" s="11">
        <v>-12148</v>
      </c>
      <c r="P61" s="8">
        <v>-0.30292559318129464</v>
      </c>
      <c r="Q61" s="8">
        <v>-0.19273399014778325</v>
      </c>
      <c r="R61" s="12">
        <v>-0.29852800235912813</v>
      </c>
    </row>
    <row r="62" spans="1:18" x14ac:dyDescent="0.2">
      <c r="A62" s="5">
        <v>43479</v>
      </c>
      <c r="B62" s="11">
        <v>37813</v>
      </c>
      <c r="C62" s="11">
        <v>1444</v>
      </c>
      <c r="D62" s="11">
        <v>39257</v>
      </c>
      <c r="F62" s="5">
        <v>44210</v>
      </c>
      <c r="G62" s="11">
        <v>30738</v>
      </c>
      <c r="H62" s="11">
        <v>1405</v>
      </c>
      <c r="I62" s="11">
        <v>32143</v>
      </c>
      <c r="K62" s="5">
        <v>43482</v>
      </c>
      <c r="L62" s="5">
        <v>44210</v>
      </c>
      <c r="M62" s="11">
        <v>-9468</v>
      </c>
      <c r="N62" s="11">
        <v>-180</v>
      </c>
      <c r="O62" s="11">
        <v>-9648</v>
      </c>
      <c r="P62" s="8">
        <v>-0.23548724071034177</v>
      </c>
      <c r="Q62" s="8">
        <v>-0.11356466876971605</v>
      </c>
      <c r="R62" s="12">
        <v>-0.23086310449618341</v>
      </c>
    </row>
    <row r="63" spans="1:18" x14ac:dyDescent="0.2">
      <c r="A63" s="5">
        <v>43480</v>
      </c>
      <c r="B63" s="11">
        <v>38726</v>
      </c>
      <c r="C63" s="11">
        <v>1586</v>
      </c>
      <c r="D63" s="11">
        <v>40312</v>
      </c>
      <c r="F63" s="5">
        <v>44211</v>
      </c>
      <c r="G63" s="11">
        <v>34972</v>
      </c>
      <c r="H63" s="11">
        <v>1252</v>
      </c>
      <c r="I63" s="11">
        <v>36224</v>
      </c>
      <c r="K63" s="5">
        <v>43483</v>
      </c>
      <c r="L63" s="5">
        <v>44211</v>
      </c>
      <c r="M63" s="11">
        <v>-7767</v>
      </c>
      <c r="N63" s="11">
        <v>-206</v>
      </c>
      <c r="O63" s="11">
        <v>-7973</v>
      </c>
      <c r="P63" s="8">
        <v>-0.18173097171201946</v>
      </c>
      <c r="Q63" s="8">
        <v>-0.14128943758573387</v>
      </c>
      <c r="R63" s="12">
        <v>-0.18039685951535167</v>
      </c>
    </row>
    <row r="64" spans="1:18" x14ac:dyDescent="0.2">
      <c r="A64" s="5">
        <v>43481</v>
      </c>
      <c r="B64" s="11">
        <v>39069</v>
      </c>
      <c r="C64" s="11">
        <v>1624</v>
      </c>
      <c r="D64" s="11">
        <v>40693</v>
      </c>
      <c r="F64" s="5">
        <v>44212</v>
      </c>
      <c r="G64" s="11">
        <v>26504</v>
      </c>
      <c r="H64" s="11">
        <v>321</v>
      </c>
      <c r="I64" s="11">
        <v>26825</v>
      </c>
      <c r="K64" s="5">
        <v>43484</v>
      </c>
      <c r="L64" s="5">
        <v>44212</v>
      </c>
      <c r="M64" s="11">
        <v>-8024</v>
      </c>
      <c r="N64" s="11">
        <v>-129</v>
      </c>
      <c r="O64" s="11">
        <v>-8153</v>
      </c>
      <c r="P64" s="8">
        <v>-0.23239110287303055</v>
      </c>
      <c r="Q64" s="8">
        <v>-0.28666666666666663</v>
      </c>
      <c r="R64" s="12">
        <v>-0.23308937046143285</v>
      </c>
    </row>
    <row r="65" spans="1:18" x14ac:dyDescent="0.2">
      <c r="A65" s="5">
        <v>43482</v>
      </c>
      <c r="B65" s="11">
        <v>40206</v>
      </c>
      <c r="C65" s="11">
        <v>1585</v>
      </c>
      <c r="D65" s="11">
        <v>41791</v>
      </c>
      <c r="F65" s="5">
        <v>44213</v>
      </c>
      <c r="G65" s="11">
        <v>19744</v>
      </c>
      <c r="H65" s="11">
        <v>111</v>
      </c>
      <c r="I65" s="11">
        <v>19855</v>
      </c>
      <c r="K65" s="5">
        <v>43485</v>
      </c>
      <c r="L65" s="5">
        <v>44213</v>
      </c>
      <c r="M65" s="11">
        <v>-9899</v>
      </c>
      <c r="N65" s="11">
        <v>-66</v>
      </c>
      <c r="O65" s="11">
        <v>-9965</v>
      </c>
      <c r="P65" s="8">
        <v>-0.33394055932260569</v>
      </c>
      <c r="Q65" s="8">
        <v>-0.3728813559322034</v>
      </c>
      <c r="R65" s="12">
        <v>-0.33417169684775316</v>
      </c>
    </row>
    <row r="66" spans="1:18" x14ac:dyDescent="0.2">
      <c r="A66" s="5">
        <v>43483</v>
      </c>
      <c r="B66" s="11">
        <v>42739</v>
      </c>
      <c r="C66" s="11">
        <v>1458</v>
      </c>
      <c r="D66" s="11">
        <v>44197</v>
      </c>
      <c r="F66" s="5">
        <v>44214</v>
      </c>
      <c r="G66" s="11">
        <v>30553</v>
      </c>
      <c r="H66" s="11">
        <v>1283</v>
      </c>
      <c r="I66" s="11">
        <v>31836</v>
      </c>
      <c r="K66" s="5">
        <v>43486</v>
      </c>
      <c r="L66" s="5">
        <v>44214</v>
      </c>
      <c r="M66" s="11">
        <v>-7336</v>
      </c>
      <c r="N66" s="11">
        <v>-165</v>
      </c>
      <c r="O66" s="11">
        <v>-7501</v>
      </c>
      <c r="P66" s="8">
        <v>-0.19361820053313628</v>
      </c>
      <c r="Q66" s="8">
        <v>-0.11395027624309395</v>
      </c>
      <c r="R66" s="12">
        <v>-0.19068561405292728</v>
      </c>
    </row>
    <row r="67" spans="1:18" x14ac:dyDescent="0.2">
      <c r="A67" s="5">
        <v>43484</v>
      </c>
      <c r="B67" s="11">
        <v>34528</v>
      </c>
      <c r="C67" s="11">
        <v>450</v>
      </c>
      <c r="D67" s="11">
        <v>34978</v>
      </c>
      <c r="F67" s="5">
        <v>44215</v>
      </c>
      <c r="G67" s="11">
        <v>31171</v>
      </c>
      <c r="H67" s="11">
        <v>1447</v>
      </c>
      <c r="I67" s="11">
        <v>32618</v>
      </c>
      <c r="K67" s="5">
        <v>43487</v>
      </c>
      <c r="L67" s="5">
        <v>44215</v>
      </c>
      <c r="M67" s="11">
        <v>-6702</v>
      </c>
      <c r="N67" s="11">
        <v>-157</v>
      </c>
      <c r="O67" s="11">
        <v>-6859</v>
      </c>
      <c r="P67" s="8">
        <v>-0.17695983946347005</v>
      </c>
      <c r="Q67" s="8">
        <v>-9.7880299251870362E-2</v>
      </c>
      <c r="R67" s="12">
        <v>-0.17374673860729029</v>
      </c>
    </row>
    <row r="68" spans="1:18" x14ac:dyDescent="0.2">
      <c r="A68" s="5">
        <v>43485</v>
      </c>
      <c r="B68" s="11">
        <v>29643</v>
      </c>
      <c r="C68" s="11">
        <v>177</v>
      </c>
      <c r="D68" s="11">
        <v>29820</v>
      </c>
      <c r="F68" s="5">
        <v>44216</v>
      </c>
      <c r="G68" s="11">
        <v>28907</v>
      </c>
      <c r="H68" s="11">
        <v>1396</v>
      </c>
      <c r="I68" s="11">
        <v>30303</v>
      </c>
      <c r="K68" s="5">
        <v>43488</v>
      </c>
      <c r="L68" s="5">
        <v>44216</v>
      </c>
      <c r="M68" s="11">
        <v>-7049</v>
      </c>
      <c r="N68" s="11">
        <v>-235</v>
      </c>
      <c r="O68" s="11">
        <v>-7284</v>
      </c>
      <c r="P68" s="8">
        <v>-0.19604516631438429</v>
      </c>
      <c r="Q68" s="8">
        <v>-0.14408338442673208</v>
      </c>
      <c r="R68" s="12">
        <v>-0.19379040625748267</v>
      </c>
    </row>
    <row r="69" spans="1:18" x14ac:dyDescent="0.2">
      <c r="A69" s="5">
        <v>43486</v>
      </c>
      <c r="B69" s="11">
        <v>37889</v>
      </c>
      <c r="C69" s="11">
        <v>1448</v>
      </c>
      <c r="D69" s="11">
        <v>39337</v>
      </c>
      <c r="F69" s="5">
        <v>44217</v>
      </c>
      <c r="G69" s="11">
        <v>29607</v>
      </c>
      <c r="H69" s="11">
        <v>1522</v>
      </c>
      <c r="I69" s="11">
        <v>31129</v>
      </c>
      <c r="K69" s="5">
        <v>43489</v>
      </c>
      <c r="L69" s="5">
        <v>44217</v>
      </c>
      <c r="M69" s="11">
        <v>-10260</v>
      </c>
      <c r="N69" s="11">
        <v>-160</v>
      </c>
      <c r="O69" s="11">
        <v>-10420</v>
      </c>
      <c r="P69" s="8">
        <v>-0.25735570772819627</v>
      </c>
      <c r="Q69" s="8">
        <v>-9.5124851367419772E-2</v>
      </c>
      <c r="R69" s="12">
        <v>-0.25078822595008299</v>
      </c>
    </row>
    <row r="70" spans="1:18" x14ac:dyDescent="0.2">
      <c r="A70" s="5">
        <v>43487</v>
      </c>
      <c r="B70" s="11">
        <v>37873</v>
      </c>
      <c r="C70" s="11">
        <v>1604</v>
      </c>
      <c r="D70" s="11">
        <v>39477</v>
      </c>
      <c r="F70" s="5">
        <v>44218</v>
      </c>
      <c r="G70" s="11">
        <v>33012</v>
      </c>
      <c r="H70" s="11">
        <v>1289</v>
      </c>
      <c r="I70" s="11">
        <v>34301</v>
      </c>
      <c r="K70" s="5">
        <v>43490</v>
      </c>
      <c r="L70" s="5">
        <v>44218</v>
      </c>
      <c r="M70" s="11">
        <v>-9905</v>
      </c>
      <c r="N70" s="11">
        <v>-142</v>
      </c>
      <c r="O70" s="11">
        <v>-10047</v>
      </c>
      <c r="P70" s="8">
        <v>-0.23079432392758115</v>
      </c>
      <c r="Q70" s="8">
        <v>-9.923130677847658E-2</v>
      </c>
      <c r="R70" s="12">
        <v>-0.22654911157211144</v>
      </c>
    </row>
    <row r="71" spans="1:18" x14ac:dyDescent="0.2">
      <c r="A71" s="5">
        <v>43488</v>
      </c>
      <c r="B71" s="11">
        <v>35956</v>
      </c>
      <c r="C71" s="11">
        <v>1631</v>
      </c>
      <c r="D71" s="11">
        <v>37587</v>
      </c>
      <c r="F71" s="5">
        <v>44219</v>
      </c>
      <c r="G71" s="11">
        <v>23953</v>
      </c>
      <c r="H71" s="11">
        <v>254</v>
      </c>
      <c r="I71" s="11">
        <v>24207</v>
      </c>
      <c r="K71" s="5">
        <v>43491</v>
      </c>
      <c r="L71" s="5">
        <v>44219</v>
      </c>
      <c r="M71" s="11">
        <v>-11728</v>
      </c>
      <c r="N71" s="11">
        <v>-252</v>
      </c>
      <c r="O71" s="11">
        <v>-11980</v>
      </c>
      <c r="P71" s="8">
        <v>-0.32869033939631742</v>
      </c>
      <c r="Q71" s="8">
        <v>-0.49802371541501977</v>
      </c>
      <c r="R71" s="12">
        <v>-0.33105811479260505</v>
      </c>
    </row>
    <row r="72" spans="1:18" x14ac:dyDescent="0.2">
      <c r="A72" s="5">
        <v>43489</v>
      </c>
      <c r="B72" s="11">
        <v>39867</v>
      </c>
      <c r="C72" s="11">
        <v>1682</v>
      </c>
      <c r="D72" s="11">
        <v>41549</v>
      </c>
      <c r="F72" s="5">
        <v>44220</v>
      </c>
      <c r="G72" s="11">
        <v>23352</v>
      </c>
      <c r="H72" s="11">
        <v>119</v>
      </c>
      <c r="I72" s="11">
        <v>23471</v>
      </c>
      <c r="K72" s="5">
        <v>43492</v>
      </c>
      <c r="L72" s="5">
        <v>44220</v>
      </c>
      <c r="M72" s="11">
        <v>-7351</v>
      </c>
      <c r="N72" s="11">
        <v>-53</v>
      </c>
      <c r="O72" s="11">
        <v>-7404</v>
      </c>
      <c r="P72" s="8">
        <v>-0.23942285770120186</v>
      </c>
      <c r="Q72" s="8">
        <v>-0.30813953488372092</v>
      </c>
      <c r="R72" s="12">
        <v>-0.2398056680161943</v>
      </c>
    </row>
    <row r="73" spans="1:18" x14ac:dyDescent="0.2">
      <c r="A73" s="5">
        <v>43490</v>
      </c>
      <c r="B73" s="11">
        <v>42917</v>
      </c>
      <c r="C73" s="11">
        <v>1431</v>
      </c>
      <c r="D73" s="11">
        <v>44348</v>
      </c>
      <c r="F73" s="5">
        <v>44221</v>
      </c>
      <c r="G73" s="11">
        <v>26544</v>
      </c>
      <c r="H73" s="11">
        <v>1390</v>
      </c>
      <c r="I73" s="11">
        <v>27934</v>
      </c>
      <c r="K73" s="5">
        <v>43493</v>
      </c>
      <c r="L73" s="5">
        <v>44221</v>
      </c>
      <c r="M73" s="11">
        <f t="shared" ref="M73:M75" si="4">G73-B76</f>
        <v>-10704</v>
      </c>
      <c r="N73" s="11">
        <f t="shared" ref="N73:N75" si="5">H73-C76</f>
        <v>-150</v>
      </c>
      <c r="O73" s="11">
        <f t="shared" ref="O73:O75" si="6">I73-D76</f>
        <v>-10854</v>
      </c>
      <c r="P73" s="8">
        <f t="shared" ref="P73:P75" si="7">G73/B76-1</f>
        <v>-0.28737113402061853</v>
      </c>
      <c r="Q73" s="8">
        <f t="shared" ref="Q73:Q75" si="8">H73/C76-1</f>
        <v>-9.740259740259738E-2</v>
      </c>
      <c r="R73" s="12">
        <f t="shared" ref="R73:R75" si="9">I73/D76-1</f>
        <v>-0.27982881303495921</v>
      </c>
    </row>
    <row r="74" spans="1:18" x14ac:dyDescent="0.2">
      <c r="A74" s="5">
        <v>43491</v>
      </c>
      <c r="B74" s="11">
        <v>35681</v>
      </c>
      <c r="C74" s="11">
        <v>506</v>
      </c>
      <c r="D74" s="11">
        <v>36187</v>
      </c>
      <c r="F74" s="5">
        <v>44222</v>
      </c>
      <c r="G74" s="11">
        <v>33040</v>
      </c>
      <c r="H74" s="11">
        <v>1377</v>
      </c>
      <c r="I74" s="11">
        <v>34417</v>
      </c>
      <c r="K74" s="5">
        <v>43494</v>
      </c>
      <c r="L74" s="5">
        <v>44222</v>
      </c>
      <c r="M74" s="11">
        <f t="shared" si="4"/>
        <v>-4884</v>
      </c>
      <c r="N74" s="11">
        <f t="shared" si="5"/>
        <v>-156</v>
      </c>
      <c r="O74" s="11">
        <f t="shared" si="6"/>
        <v>-5040</v>
      </c>
      <c r="P74" s="8">
        <f t="shared" si="7"/>
        <v>-0.12878388355658688</v>
      </c>
      <c r="Q74" s="8">
        <f t="shared" si="8"/>
        <v>-0.10176125244618395</v>
      </c>
      <c r="R74" s="12">
        <f t="shared" si="9"/>
        <v>-0.12773398889930809</v>
      </c>
    </row>
    <row r="75" spans="1:18" x14ac:dyDescent="0.2">
      <c r="A75" s="5">
        <v>43492</v>
      </c>
      <c r="B75" s="11">
        <v>30703</v>
      </c>
      <c r="C75" s="11">
        <v>172</v>
      </c>
      <c r="D75" s="11">
        <v>30875</v>
      </c>
      <c r="F75" s="5">
        <v>44223</v>
      </c>
      <c r="G75" s="11">
        <v>28917</v>
      </c>
      <c r="H75" s="11">
        <v>1398</v>
      </c>
      <c r="I75" s="11">
        <v>30315</v>
      </c>
      <c r="K75" s="5">
        <v>43495</v>
      </c>
      <c r="L75" s="5">
        <v>44223</v>
      </c>
      <c r="M75" s="11">
        <f t="shared" si="4"/>
        <v>-7248</v>
      </c>
      <c r="N75" s="11">
        <f t="shared" si="5"/>
        <v>-165</v>
      </c>
      <c r="O75" s="11">
        <f t="shared" si="6"/>
        <v>-7413</v>
      </c>
      <c r="P75" s="8">
        <f t="shared" si="7"/>
        <v>-0.20041476565740357</v>
      </c>
      <c r="Q75" s="8">
        <f t="shared" si="8"/>
        <v>-0.10556621880998085</v>
      </c>
      <c r="R75" s="12">
        <f t="shared" si="9"/>
        <v>-0.19648536895674296</v>
      </c>
    </row>
    <row r="76" spans="1:18" x14ac:dyDescent="0.2">
      <c r="A76" s="5">
        <v>43493</v>
      </c>
      <c r="B76" s="11">
        <v>37248</v>
      </c>
      <c r="C76" s="11">
        <v>1540</v>
      </c>
      <c r="D76" s="11">
        <v>38788</v>
      </c>
      <c r="F76" s="5">
        <v>44224</v>
      </c>
      <c r="G76" s="11">
        <v>29792</v>
      </c>
      <c r="H76" s="11">
        <v>1490</v>
      </c>
      <c r="I76" s="11">
        <v>31282</v>
      </c>
      <c r="K76" s="5">
        <v>43496</v>
      </c>
      <c r="L76" s="5">
        <v>44224</v>
      </c>
      <c r="M76" s="11">
        <f t="shared" ref="M76:M79" si="10">G76-B79</f>
        <v>-8979</v>
      </c>
      <c r="N76" s="11">
        <f t="shared" ref="N76:N79" si="11">H76-C79</f>
        <v>-82</v>
      </c>
      <c r="O76" s="11">
        <f t="shared" ref="O76:O79" si="12">I76-D79</f>
        <v>-9061</v>
      </c>
      <c r="P76" s="8">
        <f t="shared" ref="P76:P79" si="13">G76/B79-1</f>
        <v>-0.23159062185654222</v>
      </c>
      <c r="Q76" s="8">
        <f t="shared" ref="Q76:Q79" si="14">H76/C79-1</f>
        <v>-5.2162849872773531E-2</v>
      </c>
      <c r="R76" s="12">
        <f t="shared" ref="R76:R79" si="15">I76/D79-1</f>
        <v>-0.2245990630344793</v>
      </c>
    </row>
    <row r="77" spans="1:18" x14ac:dyDescent="0.2">
      <c r="A77" s="5">
        <v>43494</v>
      </c>
      <c r="B77" s="11">
        <v>37924</v>
      </c>
      <c r="C77" s="11">
        <v>1533</v>
      </c>
      <c r="D77" s="11">
        <v>39457</v>
      </c>
      <c r="F77" s="5">
        <v>44225</v>
      </c>
      <c r="G77" s="11">
        <v>34798</v>
      </c>
      <c r="H77" s="11">
        <v>1360</v>
      </c>
      <c r="I77" s="11">
        <v>36158</v>
      </c>
      <c r="K77" s="5">
        <v>43497</v>
      </c>
      <c r="L77" s="5">
        <v>44225</v>
      </c>
      <c r="M77" s="11">
        <f t="shared" si="10"/>
        <v>-3052</v>
      </c>
      <c r="N77" s="11">
        <f t="shared" si="11"/>
        <v>-35</v>
      </c>
      <c r="O77" s="11">
        <f t="shared" si="12"/>
        <v>-3087</v>
      </c>
      <c r="P77" s="8">
        <f t="shared" si="13"/>
        <v>-8.0634081902245747E-2</v>
      </c>
      <c r="Q77" s="8">
        <f t="shared" si="14"/>
        <v>-2.508960573476704E-2</v>
      </c>
      <c r="R77" s="12">
        <f t="shared" si="15"/>
        <v>-7.8659701872850096E-2</v>
      </c>
    </row>
    <row r="78" spans="1:18" x14ac:dyDescent="0.2">
      <c r="A78" s="5">
        <v>43495</v>
      </c>
      <c r="B78" s="11">
        <v>36165</v>
      </c>
      <c r="C78" s="11">
        <v>1563</v>
      </c>
      <c r="D78" s="11">
        <v>37728</v>
      </c>
      <c r="F78" s="5">
        <v>44226</v>
      </c>
      <c r="G78" s="11">
        <v>24975</v>
      </c>
      <c r="H78" s="11">
        <v>267</v>
      </c>
      <c r="I78" s="11">
        <v>25242</v>
      </c>
      <c r="K78" s="5">
        <v>43498</v>
      </c>
      <c r="L78" s="5">
        <v>44226</v>
      </c>
      <c r="M78" s="11">
        <f t="shared" si="10"/>
        <v>-9042</v>
      </c>
      <c r="N78" s="11">
        <f t="shared" si="11"/>
        <v>-247</v>
      </c>
      <c r="O78" s="11">
        <f t="shared" si="12"/>
        <v>-9289</v>
      </c>
      <c r="P78" s="8">
        <f t="shared" si="13"/>
        <v>-0.26580827233442106</v>
      </c>
      <c r="Q78" s="8">
        <f t="shared" si="14"/>
        <v>-0.48054474708171202</v>
      </c>
      <c r="R78" s="12">
        <f t="shared" si="15"/>
        <v>-0.26900466247719446</v>
      </c>
    </row>
    <row r="79" spans="1:18" x14ac:dyDescent="0.2">
      <c r="A79" s="5">
        <v>43496</v>
      </c>
      <c r="B79" s="11">
        <v>38771</v>
      </c>
      <c r="C79" s="11">
        <v>1572</v>
      </c>
      <c r="D79" s="11">
        <v>40343</v>
      </c>
      <c r="F79" s="5">
        <v>44227</v>
      </c>
      <c r="G79" s="11">
        <v>22239</v>
      </c>
      <c r="H79" s="11">
        <v>125</v>
      </c>
      <c r="I79" s="11">
        <v>22364</v>
      </c>
      <c r="K79" s="5">
        <v>43499</v>
      </c>
      <c r="L79" s="5">
        <v>44227</v>
      </c>
      <c r="M79" s="11">
        <f t="shared" si="10"/>
        <v>-7269</v>
      </c>
      <c r="N79" s="11">
        <f t="shared" si="11"/>
        <v>-10</v>
      </c>
      <c r="O79" s="11">
        <f t="shared" si="12"/>
        <v>-7279</v>
      </c>
      <c r="P79" s="8">
        <f t="shared" si="13"/>
        <v>-0.24633997559983734</v>
      </c>
      <c r="Q79" s="8">
        <f t="shared" si="14"/>
        <v>-7.407407407407407E-2</v>
      </c>
      <c r="R79" s="12">
        <f t="shared" si="15"/>
        <v>-0.24555544310629829</v>
      </c>
    </row>
    <row r="80" spans="1:18" x14ac:dyDescent="0.2">
      <c r="A80" s="5">
        <v>43497</v>
      </c>
      <c r="B80" s="11">
        <v>37850</v>
      </c>
      <c r="C80" s="11">
        <v>1395</v>
      </c>
      <c r="D80" s="11">
        <v>39245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">
      <c r="A81" s="5">
        <v>43498</v>
      </c>
      <c r="B81" s="11">
        <v>34017</v>
      </c>
      <c r="C81" s="11">
        <v>514</v>
      </c>
      <c r="D81" s="11">
        <v>34531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2">
      <c r="A82" s="5">
        <v>43499</v>
      </c>
      <c r="B82" s="11">
        <v>29508</v>
      </c>
      <c r="C82" s="11">
        <v>135</v>
      </c>
      <c r="D82" s="11">
        <v>29643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2">
      <c r="A83" s="5"/>
      <c r="B83" s="11"/>
      <c r="C83" s="11"/>
      <c r="D83" s="11"/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2">
      <c r="B84" s="2"/>
      <c r="C84" s="2"/>
      <c r="G84" s="2"/>
      <c r="H84" s="2"/>
    </row>
    <row r="85" spans="1:18" ht="12.95" customHeight="1" x14ac:dyDescent="0.2">
      <c r="A85" s="23" t="s">
        <v>28</v>
      </c>
      <c r="B85" s="6"/>
      <c r="C85" s="6"/>
      <c r="D85" s="3"/>
      <c r="F85" s="23" t="s">
        <v>28</v>
      </c>
      <c r="G85" s="6"/>
      <c r="H85" s="6"/>
      <c r="I85" s="3"/>
      <c r="K85" s="23" t="s">
        <v>29</v>
      </c>
      <c r="L85" s="23"/>
      <c r="M85" s="6"/>
      <c r="N85" s="6"/>
      <c r="O85" s="3"/>
      <c r="P85" s="6"/>
      <c r="Q85" s="6"/>
      <c r="R85" s="3"/>
    </row>
    <row r="86" spans="1:18" ht="26.45" customHeight="1" x14ac:dyDescent="0.2">
      <c r="A86" s="24"/>
      <c r="B86" s="7" t="s">
        <v>38</v>
      </c>
      <c r="C86" s="4" t="s">
        <v>2</v>
      </c>
      <c r="D86" s="4" t="s">
        <v>0</v>
      </c>
      <c r="F86" s="24"/>
      <c r="G86" s="7" t="s">
        <v>38</v>
      </c>
      <c r="H86" s="4" t="s">
        <v>2</v>
      </c>
      <c r="I86" s="4" t="s">
        <v>0</v>
      </c>
      <c r="K86" s="24"/>
      <c r="L86" s="24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2">
      <c r="A87" s="5">
        <v>43466</v>
      </c>
      <c r="B87" s="11">
        <v>24468</v>
      </c>
      <c r="C87" s="11">
        <v>98</v>
      </c>
      <c r="D87" s="11">
        <v>24566</v>
      </c>
      <c r="F87" s="5">
        <v>44197</v>
      </c>
      <c r="G87" s="11">
        <v>17321</v>
      </c>
      <c r="H87" s="11">
        <v>49</v>
      </c>
      <c r="I87" s="11">
        <v>17370</v>
      </c>
      <c r="K87" s="5">
        <v>43469</v>
      </c>
      <c r="L87" s="5">
        <v>44197</v>
      </c>
      <c r="M87" s="11">
        <v>-18283</v>
      </c>
      <c r="N87" s="11">
        <v>-1004</v>
      </c>
      <c r="O87" s="11">
        <v>-19287</v>
      </c>
      <c r="P87" s="8">
        <v>-0.51350971800921252</v>
      </c>
      <c r="Q87" s="8">
        <v>-0.95346628679962009</v>
      </c>
      <c r="R87" s="12">
        <v>-0.52614780260250438</v>
      </c>
    </row>
    <row r="88" spans="1:18" x14ac:dyDescent="0.2">
      <c r="A88" s="5">
        <v>43467</v>
      </c>
      <c r="B88" s="11">
        <v>31892</v>
      </c>
      <c r="C88" s="11">
        <v>371</v>
      </c>
      <c r="D88" s="11">
        <v>32263</v>
      </c>
      <c r="F88" s="5">
        <v>44198</v>
      </c>
      <c r="G88" s="11">
        <v>26739</v>
      </c>
      <c r="H88" s="11">
        <v>188</v>
      </c>
      <c r="I88" s="11">
        <v>26927</v>
      </c>
      <c r="K88" s="5">
        <v>43470</v>
      </c>
      <c r="L88" s="5">
        <v>44198</v>
      </c>
      <c r="M88" s="11">
        <v>-6357</v>
      </c>
      <c r="N88" s="11">
        <v>-227</v>
      </c>
      <c r="O88" s="11">
        <v>-6584</v>
      </c>
      <c r="P88" s="8">
        <v>-0.19207759245830314</v>
      </c>
      <c r="Q88" s="8">
        <v>-0.54698795180722892</v>
      </c>
      <c r="R88" s="12">
        <v>-0.19647279997612721</v>
      </c>
    </row>
    <row r="89" spans="1:18" x14ac:dyDescent="0.2">
      <c r="A89" s="5">
        <v>43468</v>
      </c>
      <c r="B89" s="11">
        <v>33332</v>
      </c>
      <c r="C89" s="11">
        <v>1099</v>
      </c>
      <c r="D89" s="11">
        <v>34431</v>
      </c>
      <c r="F89" s="5">
        <v>44199</v>
      </c>
      <c r="G89" s="11">
        <v>24837</v>
      </c>
      <c r="H89" s="11">
        <v>74</v>
      </c>
      <c r="I89" s="11">
        <v>24911</v>
      </c>
      <c r="K89" s="5">
        <v>43471</v>
      </c>
      <c r="L89" s="5">
        <v>44199</v>
      </c>
      <c r="M89" s="11">
        <v>-4032</v>
      </c>
      <c r="N89" s="11">
        <v>-73</v>
      </c>
      <c r="O89" s="11">
        <v>-4105</v>
      </c>
      <c r="P89" s="8">
        <v>-0.13966538501506809</v>
      </c>
      <c r="Q89" s="8">
        <v>-0.49659863945578231</v>
      </c>
      <c r="R89" s="12">
        <v>-0.14147366969947617</v>
      </c>
    </row>
    <row r="90" spans="1:18" x14ac:dyDescent="0.2">
      <c r="A90" s="5">
        <v>43469</v>
      </c>
      <c r="B90" s="11">
        <v>35604</v>
      </c>
      <c r="C90" s="11">
        <v>1053</v>
      </c>
      <c r="D90" s="11">
        <v>36657</v>
      </c>
      <c r="F90" s="5">
        <v>44200</v>
      </c>
      <c r="G90" s="11">
        <v>26799</v>
      </c>
      <c r="H90" s="11">
        <v>962</v>
      </c>
      <c r="I90" s="11">
        <v>27761</v>
      </c>
      <c r="K90" s="5">
        <v>43472</v>
      </c>
      <c r="L90" s="5">
        <v>44200</v>
      </c>
      <c r="M90" s="11">
        <v>-8617</v>
      </c>
      <c r="N90" s="11">
        <v>-294</v>
      </c>
      <c r="O90" s="11">
        <v>-8911</v>
      </c>
      <c r="P90" s="8">
        <v>-0.24330810932911673</v>
      </c>
      <c r="Q90" s="8">
        <v>-0.23407643312101911</v>
      </c>
      <c r="R90" s="12">
        <v>-0.24299192844677142</v>
      </c>
    </row>
    <row r="91" spans="1:18" x14ac:dyDescent="0.2">
      <c r="A91" s="5">
        <v>43470</v>
      </c>
      <c r="B91" s="11">
        <v>33096</v>
      </c>
      <c r="C91" s="11">
        <v>415</v>
      </c>
      <c r="D91" s="11">
        <v>33511</v>
      </c>
      <c r="F91" s="5">
        <v>44201</v>
      </c>
      <c r="G91" s="11">
        <v>25912</v>
      </c>
      <c r="H91" s="11">
        <v>1102</v>
      </c>
      <c r="I91" s="11">
        <v>27014</v>
      </c>
      <c r="K91" s="5">
        <v>43473</v>
      </c>
      <c r="L91" s="5">
        <v>44201</v>
      </c>
      <c r="M91" s="11">
        <v>-8930</v>
      </c>
      <c r="N91" s="11">
        <v>-369</v>
      </c>
      <c r="O91" s="11">
        <v>-9299</v>
      </c>
      <c r="P91" s="8">
        <v>-0.25629986797543192</v>
      </c>
      <c r="Q91" s="8">
        <v>-0.25084976206662135</v>
      </c>
      <c r="R91" s="12">
        <v>-0.25607909013301022</v>
      </c>
    </row>
    <row r="92" spans="1:18" x14ac:dyDescent="0.2">
      <c r="A92" s="5">
        <v>43471</v>
      </c>
      <c r="B92" s="11">
        <v>28869</v>
      </c>
      <c r="C92" s="11">
        <v>147</v>
      </c>
      <c r="D92" s="11">
        <v>29016</v>
      </c>
      <c r="F92" s="5">
        <v>44202</v>
      </c>
      <c r="G92" s="11">
        <v>27591</v>
      </c>
      <c r="H92" s="11">
        <v>1091</v>
      </c>
      <c r="I92" s="11">
        <v>28682</v>
      </c>
      <c r="K92" s="5">
        <v>43474</v>
      </c>
      <c r="L92" s="5">
        <v>44202</v>
      </c>
      <c r="M92" s="11">
        <v>-6500</v>
      </c>
      <c r="N92" s="11">
        <v>-387</v>
      </c>
      <c r="O92" s="11">
        <v>-6887</v>
      </c>
      <c r="P92" s="8">
        <v>-0.19066615822357802</v>
      </c>
      <c r="Q92" s="8">
        <v>-0.26184032476319352</v>
      </c>
      <c r="R92" s="12">
        <v>-0.19362366105316431</v>
      </c>
    </row>
    <row r="93" spans="1:18" x14ac:dyDescent="0.2">
      <c r="A93" s="5">
        <v>43472</v>
      </c>
      <c r="B93" s="11">
        <v>35416</v>
      </c>
      <c r="C93" s="11">
        <v>1256</v>
      </c>
      <c r="D93" s="11">
        <v>36672</v>
      </c>
      <c r="F93" s="5">
        <v>44203</v>
      </c>
      <c r="G93" s="11">
        <v>29923</v>
      </c>
      <c r="H93" s="11">
        <v>1139</v>
      </c>
      <c r="I93" s="11">
        <v>31062</v>
      </c>
      <c r="K93" s="5">
        <v>43475</v>
      </c>
      <c r="L93" s="5">
        <v>44203</v>
      </c>
      <c r="M93" s="11">
        <v>-7053</v>
      </c>
      <c r="N93" s="11">
        <v>-419</v>
      </c>
      <c r="O93" s="11">
        <v>-7472</v>
      </c>
      <c r="P93" s="8">
        <v>-0.19074534833405454</v>
      </c>
      <c r="Q93" s="8">
        <v>-0.26893453145057766</v>
      </c>
      <c r="R93" s="12">
        <v>-0.19390667981522813</v>
      </c>
    </row>
    <row r="94" spans="1:18" x14ac:dyDescent="0.2">
      <c r="A94" s="5">
        <v>43473</v>
      </c>
      <c r="B94" s="11">
        <v>34842</v>
      </c>
      <c r="C94" s="11">
        <v>1471</v>
      </c>
      <c r="D94" s="11">
        <v>36313</v>
      </c>
      <c r="F94" s="5">
        <v>44204</v>
      </c>
      <c r="G94" s="11">
        <v>32341</v>
      </c>
      <c r="H94" s="11">
        <v>1057</v>
      </c>
      <c r="I94" s="11">
        <v>33398</v>
      </c>
      <c r="K94" s="5">
        <v>43476</v>
      </c>
      <c r="L94" s="5">
        <v>44204</v>
      </c>
      <c r="M94" s="11">
        <v>-8131</v>
      </c>
      <c r="N94" s="11">
        <v>-402</v>
      </c>
      <c r="O94" s="11">
        <v>-8533</v>
      </c>
      <c r="P94" s="8">
        <v>-0.20090432891875865</v>
      </c>
      <c r="Q94" s="8">
        <v>-0.27553118574366009</v>
      </c>
      <c r="R94" s="12">
        <v>-0.20350098972120867</v>
      </c>
    </row>
    <row r="95" spans="1:18" x14ac:dyDescent="0.2">
      <c r="A95" s="5">
        <v>43474</v>
      </c>
      <c r="B95" s="11">
        <v>34091</v>
      </c>
      <c r="C95" s="11">
        <v>1478</v>
      </c>
      <c r="D95" s="11">
        <v>35569</v>
      </c>
      <c r="F95" s="5">
        <v>44205</v>
      </c>
      <c r="G95" s="11">
        <v>30585</v>
      </c>
      <c r="H95" s="11">
        <v>329</v>
      </c>
      <c r="I95" s="11">
        <v>30914</v>
      </c>
      <c r="K95" s="5">
        <v>43477</v>
      </c>
      <c r="L95" s="5">
        <v>44205</v>
      </c>
      <c r="M95" s="11">
        <v>-3026</v>
      </c>
      <c r="N95" s="11">
        <v>-162</v>
      </c>
      <c r="O95" s="11">
        <v>-3188</v>
      </c>
      <c r="P95" s="8">
        <v>-9.003004968611461E-2</v>
      </c>
      <c r="Q95" s="8">
        <v>-0.32993890020366601</v>
      </c>
      <c r="R95" s="12">
        <v>-9.3484253122984029E-2</v>
      </c>
    </row>
    <row r="96" spans="1:18" x14ac:dyDescent="0.2">
      <c r="A96" s="5">
        <v>43475</v>
      </c>
      <c r="B96" s="11">
        <v>36976</v>
      </c>
      <c r="C96" s="11">
        <v>1558</v>
      </c>
      <c r="D96" s="11">
        <v>38534</v>
      </c>
      <c r="F96" s="5">
        <v>44206</v>
      </c>
      <c r="G96" s="11">
        <v>25812</v>
      </c>
      <c r="H96" s="11">
        <v>97</v>
      </c>
      <c r="I96" s="11">
        <v>25909</v>
      </c>
      <c r="K96" s="5">
        <v>43478</v>
      </c>
      <c r="L96" s="5">
        <v>44206</v>
      </c>
      <c r="M96" s="11">
        <v>-2359</v>
      </c>
      <c r="N96" s="11">
        <v>-90</v>
      </c>
      <c r="O96" s="11">
        <v>-2449</v>
      </c>
      <c r="P96" s="8">
        <v>-8.3738596428951761E-2</v>
      </c>
      <c r="Q96" s="8">
        <v>-0.48128342245989308</v>
      </c>
      <c r="R96" s="12">
        <v>-8.6360110021863279E-2</v>
      </c>
    </row>
    <row r="97" spans="1:18" x14ac:dyDescent="0.2">
      <c r="A97" s="5">
        <v>43476</v>
      </c>
      <c r="B97" s="11">
        <v>40472</v>
      </c>
      <c r="C97" s="11">
        <v>1459</v>
      </c>
      <c r="D97" s="11">
        <v>41931</v>
      </c>
      <c r="F97" s="5">
        <v>44207</v>
      </c>
      <c r="G97" s="11">
        <v>34487</v>
      </c>
      <c r="H97" s="11">
        <v>1357</v>
      </c>
      <c r="I97" s="11">
        <v>35844</v>
      </c>
      <c r="K97" s="5">
        <v>43479</v>
      </c>
      <c r="L97" s="5">
        <v>44207</v>
      </c>
      <c r="M97" s="11">
        <v>-2662</v>
      </c>
      <c r="N97" s="11">
        <v>-155</v>
      </c>
      <c r="O97" s="11">
        <v>-2817</v>
      </c>
      <c r="P97" s="8">
        <v>-7.1657379741042804E-2</v>
      </c>
      <c r="Q97" s="8">
        <v>-0.10251322751322756</v>
      </c>
      <c r="R97" s="12">
        <v>-7.2864126639248905E-2</v>
      </c>
    </row>
    <row r="98" spans="1:18" x14ac:dyDescent="0.2">
      <c r="A98" s="5">
        <v>43477</v>
      </c>
      <c r="B98" s="11">
        <v>33611</v>
      </c>
      <c r="C98" s="11">
        <v>491</v>
      </c>
      <c r="D98" s="11">
        <v>34102</v>
      </c>
      <c r="F98" s="5">
        <v>44208</v>
      </c>
      <c r="G98" s="11">
        <v>30872</v>
      </c>
      <c r="H98" s="11">
        <v>1374</v>
      </c>
      <c r="I98" s="11">
        <v>32246</v>
      </c>
      <c r="K98" s="5">
        <v>43480</v>
      </c>
      <c r="L98" s="5">
        <v>44208</v>
      </c>
      <c r="M98" s="11">
        <v>-7942</v>
      </c>
      <c r="N98" s="11">
        <v>-320</v>
      </c>
      <c r="O98" s="11">
        <v>-8262</v>
      </c>
      <c r="P98" s="8">
        <v>-0.20461689081259338</v>
      </c>
      <c r="Q98" s="8">
        <v>-0.18890200708382532</v>
      </c>
      <c r="R98" s="12">
        <v>-0.20395971166189397</v>
      </c>
    </row>
    <row r="99" spans="1:18" x14ac:dyDescent="0.2">
      <c r="A99" s="5">
        <v>43478</v>
      </c>
      <c r="B99" s="11">
        <v>28171</v>
      </c>
      <c r="C99" s="11">
        <v>187</v>
      </c>
      <c r="D99" s="11">
        <v>28358</v>
      </c>
      <c r="F99" s="5">
        <v>44209</v>
      </c>
      <c r="G99" s="11">
        <v>27974</v>
      </c>
      <c r="H99" s="11">
        <v>1325</v>
      </c>
      <c r="I99" s="11">
        <v>29299</v>
      </c>
      <c r="K99" s="5">
        <v>43481</v>
      </c>
      <c r="L99" s="5">
        <v>44209</v>
      </c>
      <c r="M99" s="11">
        <v>-11155</v>
      </c>
      <c r="N99" s="11">
        <v>-350</v>
      </c>
      <c r="O99" s="11">
        <v>-11505</v>
      </c>
      <c r="P99" s="8">
        <v>-0.28508267525364817</v>
      </c>
      <c r="Q99" s="8">
        <v>-0.20895522388059706</v>
      </c>
      <c r="R99" s="12">
        <v>-0.28195765121066563</v>
      </c>
    </row>
    <row r="100" spans="1:18" x14ac:dyDescent="0.2">
      <c r="A100" s="5">
        <v>43479</v>
      </c>
      <c r="B100" s="11">
        <v>37149</v>
      </c>
      <c r="C100" s="11">
        <v>1512</v>
      </c>
      <c r="D100" s="11">
        <v>38661</v>
      </c>
      <c r="F100" s="5">
        <v>44210</v>
      </c>
      <c r="G100" s="11">
        <v>30534</v>
      </c>
      <c r="H100" s="11">
        <v>1509</v>
      </c>
      <c r="I100" s="11">
        <v>32043</v>
      </c>
      <c r="K100" s="5">
        <v>43482</v>
      </c>
      <c r="L100" s="5">
        <v>44210</v>
      </c>
      <c r="M100" s="11">
        <v>-9632</v>
      </c>
      <c r="N100" s="11">
        <v>-109</v>
      </c>
      <c r="O100" s="11">
        <v>-9741</v>
      </c>
      <c r="P100" s="8">
        <v>-0.23980481003834087</v>
      </c>
      <c r="Q100" s="8">
        <v>-6.7367119901112438E-2</v>
      </c>
      <c r="R100" s="12">
        <v>-0.23312751292360712</v>
      </c>
    </row>
    <row r="101" spans="1:18" x14ac:dyDescent="0.2">
      <c r="A101" s="5">
        <v>43480</v>
      </c>
      <c r="B101" s="11">
        <v>38814</v>
      </c>
      <c r="C101" s="11">
        <v>1694</v>
      </c>
      <c r="D101" s="11">
        <v>40508</v>
      </c>
      <c r="F101" s="5">
        <v>44211</v>
      </c>
      <c r="G101" s="11">
        <v>32513</v>
      </c>
      <c r="H101" s="11">
        <v>1380</v>
      </c>
      <c r="I101" s="11">
        <v>33893</v>
      </c>
      <c r="K101" s="5">
        <v>43483</v>
      </c>
      <c r="L101" s="5">
        <v>44211</v>
      </c>
      <c r="M101" s="11">
        <v>-10703</v>
      </c>
      <c r="N101" s="11">
        <v>-207</v>
      </c>
      <c r="O101" s="11">
        <v>-10910</v>
      </c>
      <c r="P101" s="8">
        <v>-0.24766290262865609</v>
      </c>
      <c r="Q101" s="8">
        <v>-0.13043478260869568</v>
      </c>
      <c r="R101" s="12">
        <v>-0.2435104792089815</v>
      </c>
    </row>
    <row r="102" spans="1:18" x14ac:dyDescent="0.2">
      <c r="A102" s="5">
        <v>43481</v>
      </c>
      <c r="B102" s="11">
        <v>39129</v>
      </c>
      <c r="C102" s="11">
        <v>1675</v>
      </c>
      <c r="D102" s="11">
        <v>40804</v>
      </c>
      <c r="F102" s="5">
        <v>44212</v>
      </c>
      <c r="G102" s="11">
        <v>28996</v>
      </c>
      <c r="H102" s="11">
        <v>323</v>
      </c>
      <c r="I102" s="11">
        <v>29319</v>
      </c>
      <c r="K102" s="5">
        <v>43484</v>
      </c>
      <c r="L102" s="5">
        <v>44212</v>
      </c>
      <c r="M102" s="11">
        <v>-6390</v>
      </c>
      <c r="N102" s="11">
        <v>-215</v>
      </c>
      <c r="O102" s="11">
        <v>-6605</v>
      </c>
      <c r="P102" s="8">
        <v>-0.18057989035211663</v>
      </c>
      <c r="Q102" s="8">
        <v>-0.3996282527881041</v>
      </c>
      <c r="R102" s="12">
        <v>-0.18386037189622539</v>
      </c>
    </row>
    <row r="103" spans="1:18" x14ac:dyDescent="0.2">
      <c r="A103" s="5">
        <v>43482</v>
      </c>
      <c r="B103" s="11">
        <v>40166</v>
      </c>
      <c r="C103" s="11">
        <v>1618</v>
      </c>
      <c r="D103" s="11">
        <v>41784</v>
      </c>
      <c r="F103" s="5">
        <v>44213</v>
      </c>
      <c r="G103" s="11">
        <v>21818</v>
      </c>
      <c r="H103" s="11">
        <v>83</v>
      </c>
      <c r="I103" s="11">
        <v>21901</v>
      </c>
      <c r="K103" s="5">
        <v>43485</v>
      </c>
      <c r="L103" s="5">
        <v>44213</v>
      </c>
      <c r="M103" s="11">
        <v>-8471</v>
      </c>
      <c r="N103" s="11">
        <v>-92</v>
      </c>
      <c r="O103" s="11">
        <v>-8563</v>
      </c>
      <c r="P103" s="8">
        <v>-0.27967248836211167</v>
      </c>
      <c r="Q103" s="8">
        <v>-0.52571428571428569</v>
      </c>
      <c r="R103" s="12">
        <v>-0.28108587184873945</v>
      </c>
    </row>
    <row r="104" spans="1:18" x14ac:dyDescent="0.2">
      <c r="A104" s="5">
        <v>43483</v>
      </c>
      <c r="B104" s="11">
        <v>43216</v>
      </c>
      <c r="C104" s="11">
        <v>1587</v>
      </c>
      <c r="D104" s="11">
        <v>44803</v>
      </c>
      <c r="F104" s="5">
        <v>44214</v>
      </c>
      <c r="G104" s="11">
        <v>31153</v>
      </c>
      <c r="H104" s="11">
        <v>1370</v>
      </c>
      <c r="I104" s="11">
        <v>32523</v>
      </c>
      <c r="K104" s="5">
        <v>43486</v>
      </c>
      <c r="L104" s="5">
        <v>44214</v>
      </c>
      <c r="M104" s="11">
        <v>-5011</v>
      </c>
      <c r="N104" s="11">
        <v>-163</v>
      </c>
      <c r="O104" s="11">
        <v>-5174</v>
      </c>
      <c r="P104" s="8">
        <v>-0.13856321203406707</v>
      </c>
      <c r="Q104" s="8">
        <v>-0.1063274624918461</v>
      </c>
      <c r="R104" s="12">
        <v>-0.13725230124413079</v>
      </c>
    </row>
    <row r="105" spans="1:18" x14ac:dyDescent="0.2">
      <c r="A105" s="5">
        <v>43484</v>
      </c>
      <c r="B105" s="11">
        <v>35386</v>
      </c>
      <c r="C105" s="11">
        <v>538</v>
      </c>
      <c r="D105" s="11">
        <v>35924</v>
      </c>
      <c r="F105" s="5">
        <v>44215</v>
      </c>
      <c r="G105" s="11">
        <v>32415</v>
      </c>
      <c r="H105" s="11">
        <v>1430</v>
      </c>
      <c r="I105" s="11">
        <v>33845</v>
      </c>
      <c r="K105" s="5">
        <v>43487</v>
      </c>
      <c r="L105" s="5">
        <v>44215</v>
      </c>
      <c r="M105" s="11">
        <v>-5327</v>
      </c>
      <c r="N105" s="11">
        <v>-243</v>
      </c>
      <c r="O105" s="11">
        <v>-5570</v>
      </c>
      <c r="P105" s="8">
        <v>-0.14114249377351495</v>
      </c>
      <c r="Q105" s="8">
        <v>-0.14524805738194857</v>
      </c>
      <c r="R105" s="12">
        <v>-0.14131675757960172</v>
      </c>
    </row>
    <row r="106" spans="1:18" x14ac:dyDescent="0.2">
      <c r="A106" s="5">
        <v>43485</v>
      </c>
      <c r="B106" s="11">
        <v>30289</v>
      </c>
      <c r="C106" s="11">
        <v>175</v>
      </c>
      <c r="D106" s="11">
        <v>30464</v>
      </c>
      <c r="F106" s="5">
        <v>44216</v>
      </c>
      <c r="G106" s="11">
        <v>30595</v>
      </c>
      <c r="H106" s="11">
        <v>1451</v>
      </c>
      <c r="I106" s="11">
        <v>32046</v>
      </c>
      <c r="K106" s="5">
        <v>43488</v>
      </c>
      <c r="L106" s="5">
        <v>44216</v>
      </c>
      <c r="M106" s="11">
        <v>-6011</v>
      </c>
      <c r="N106" s="11">
        <v>-274</v>
      </c>
      <c r="O106" s="11">
        <v>-6285</v>
      </c>
      <c r="P106" s="8">
        <v>-0.16420805332459165</v>
      </c>
      <c r="Q106" s="8">
        <v>-0.15884057971014498</v>
      </c>
      <c r="R106" s="12">
        <v>-0.16396650230883614</v>
      </c>
    </row>
    <row r="107" spans="1:18" x14ac:dyDescent="0.2">
      <c r="A107" s="5">
        <v>43486</v>
      </c>
      <c r="B107" s="11">
        <v>36164</v>
      </c>
      <c r="C107" s="11">
        <v>1533</v>
      </c>
      <c r="D107" s="11">
        <v>37697</v>
      </c>
      <c r="F107" s="5">
        <v>44217</v>
      </c>
      <c r="G107" s="11">
        <v>29421</v>
      </c>
      <c r="H107" s="11">
        <v>1588</v>
      </c>
      <c r="I107" s="11">
        <v>31009</v>
      </c>
      <c r="K107" s="5">
        <v>43489</v>
      </c>
      <c r="L107" s="5">
        <v>44217</v>
      </c>
      <c r="M107" s="11">
        <v>-10715</v>
      </c>
      <c r="N107" s="11">
        <v>-196</v>
      </c>
      <c r="O107" s="11">
        <v>-10911</v>
      </c>
      <c r="P107" s="8">
        <v>-0.2669673111421168</v>
      </c>
      <c r="Q107" s="8">
        <v>-0.10986547085201792</v>
      </c>
      <c r="R107" s="12">
        <v>-0.2602814885496183</v>
      </c>
    </row>
    <row r="108" spans="1:18" x14ac:dyDescent="0.2">
      <c r="A108" s="5">
        <v>43487</v>
      </c>
      <c r="B108" s="11">
        <v>37742</v>
      </c>
      <c r="C108" s="11">
        <v>1673</v>
      </c>
      <c r="D108" s="11">
        <v>39415</v>
      </c>
      <c r="F108" s="5">
        <v>44218</v>
      </c>
      <c r="G108" s="11">
        <v>30900</v>
      </c>
      <c r="H108" s="11">
        <v>1362</v>
      </c>
      <c r="I108" s="11">
        <v>32262</v>
      </c>
      <c r="K108" s="5">
        <v>43490</v>
      </c>
      <c r="L108" s="5">
        <v>44218</v>
      </c>
      <c r="M108" s="11">
        <v>-13431</v>
      </c>
      <c r="N108" s="11">
        <v>-186</v>
      </c>
      <c r="O108" s="11">
        <v>-13617</v>
      </c>
      <c r="P108" s="8">
        <v>-0.30297083305136363</v>
      </c>
      <c r="Q108" s="8">
        <v>-0.12015503875968991</v>
      </c>
      <c r="R108" s="12">
        <v>-0.29680245864120836</v>
      </c>
    </row>
    <row r="109" spans="1:18" x14ac:dyDescent="0.2">
      <c r="A109" s="5">
        <v>43488</v>
      </c>
      <c r="B109" s="11">
        <v>36606</v>
      </c>
      <c r="C109" s="11">
        <v>1725</v>
      </c>
      <c r="D109" s="11">
        <v>38331</v>
      </c>
      <c r="F109" s="5">
        <v>44219</v>
      </c>
      <c r="G109" s="11">
        <v>24332</v>
      </c>
      <c r="H109" s="11">
        <v>312</v>
      </c>
      <c r="I109" s="11">
        <v>24644</v>
      </c>
      <c r="K109" s="5">
        <v>43491</v>
      </c>
      <c r="L109" s="5">
        <v>44219</v>
      </c>
      <c r="M109" s="11">
        <v>-13030</v>
      </c>
      <c r="N109" s="11">
        <v>-273</v>
      </c>
      <c r="O109" s="11">
        <v>-13303</v>
      </c>
      <c r="P109" s="8">
        <v>-0.34875006691290611</v>
      </c>
      <c r="Q109" s="8">
        <v>-0.46666666666666667</v>
      </c>
      <c r="R109" s="12">
        <v>-0.35056789733048721</v>
      </c>
    </row>
    <row r="110" spans="1:18" x14ac:dyDescent="0.2">
      <c r="A110" s="5">
        <v>43489</v>
      </c>
      <c r="B110" s="11">
        <v>40136</v>
      </c>
      <c r="C110" s="11">
        <v>1784</v>
      </c>
      <c r="D110" s="11">
        <v>41920</v>
      </c>
      <c r="F110" s="5">
        <v>44220</v>
      </c>
      <c r="G110" s="11">
        <v>28003</v>
      </c>
      <c r="H110" s="11">
        <v>128</v>
      </c>
      <c r="I110" s="11">
        <v>28131</v>
      </c>
      <c r="K110" s="5">
        <v>43492</v>
      </c>
      <c r="L110" s="5">
        <v>44220</v>
      </c>
      <c r="M110" s="11">
        <v>-2679</v>
      </c>
      <c r="N110" s="11">
        <v>-45</v>
      </c>
      <c r="O110" s="11">
        <v>-2724</v>
      </c>
      <c r="P110" s="8">
        <v>-8.731503813310737E-2</v>
      </c>
      <c r="Q110" s="8">
        <v>-0.26011560693641622</v>
      </c>
      <c r="R110" s="12">
        <v>-8.8283908604764205E-2</v>
      </c>
    </row>
    <row r="111" spans="1:18" x14ac:dyDescent="0.2">
      <c r="A111" s="5">
        <v>43490</v>
      </c>
      <c r="B111" s="11">
        <v>44331</v>
      </c>
      <c r="C111" s="11">
        <v>1548</v>
      </c>
      <c r="D111" s="11">
        <v>45879</v>
      </c>
      <c r="F111" s="5">
        <v>44221</v>
      </c>
      <c r="G111" s="11">
        <v>26561</v>
      </c>
      <c r="H111" s="11">
        <v>1465</v>
      </c>
      <c r="I111" s="11">
        <v>28026</v>
      </c>
      <c r="K111" s="5">
        <v>43493</v>
      </c>
      <c r="L111" s="5">
        <v>44221</v>
      </c>
      <c r="M111" s="11">
        <f t="shared" ref="M111:M113" si="16">G111-B114</f>
        <v>-10462</v>
      </c>
      <c r="N111" s="11">
        <f t="shared" ref="N111:N113" si="17">H111-C114</f>
        <v>-206</v>
      </c>
      <c r="O111" s="11">
        <f t="shared" ref="O111:O113" si="18">I111-D114</f>
        <v>-10668</v>
      </c>
      <c r="P111" s="8">
        <f t="shared" ref="P111:P113" si="19">G111/B114-1</f>
        <v>-0.28258109823623156</v>
      </c>
      <c r="Q111" s="8">
        <f t="shared" ref="Q111:Q113" si="20">H111/C114-1</f>
        <v>-0.12327947336923994</v>
      </c>
      <c r="R111" s="12">
        <f t="shared" ref="R111:R113" si="21">I111/D114-1</f>
        <v>-0.27570165917196465</v>
      </c>
    </row>
    <row r="112" spans="1:18" x14ac:dyDescent="0.2">
      <c r="A112" s="5">
        <v>43491</v>
      </c>
      <c r="B112" s="11">
        <v>37362</v>
      </c>
      <c r="C112" s="11">
        <v>585</v>
      </c>
      <c r="D112" s="11">
        <v>37947</v>
      </c>
      <c r="F112" s="5">
        <v>44222</v>
      </c>
      <c r="G112" s="11">
        <v>32989</v>
      </c>
      <c r="H112" s="11">
        <v>1372</v>
      </c>
      <c r="I112" s="11">
        <v>34361</v>
      </c>
      <c r="K112" s="5">
        <v>43494</v>
      </c>
      <c r="L112" s="5">
        <v>44222</v>
      </c>
      <c r="M112" s="11">
        <f t="shared" si="16"/>
        <v>-5140</v>
      </c>
      <c r="N112" s="11">
        <f t="shared" si="17"/>
        <v>-338</v>
      </c>
      <c r="O112" s="11">
        <f t="shared" si="18"/>
        <v>-5478</v>
      </c>
      <c r="P112" s="8">
        <f t="shared" si="19"/>
        <v>-0.13480552860027806</v>
      </c>
      <c r="Q112" s="8">
        <f t="shared" si="20"/>
        <v>-0.19766081871345031</v>
      </c>
      <c r="R112" s="12">
        <f t="shared" si="21"/>
        <v>-0.13750345139185216</v>
      </c>
    </row>
    <row r="113" spans="1:18" x14ac:dyDescent="0.2">
      <c r="A113" s="5">
        <v>43492</v>
      </c>
      <c r="B113" s="11">
        <v>30682</v>
      </c>
      <c r="C113" s="11">
        <v>173</v>
      </c>
      <c r="D113" s="11">
        <v>30855</v>
      </c>
      <c r="F113" s="5">
        <v>44223</v>
      </c>
      <c r="G113" s="11">
        <v>29872</v>
      </c>
      <c r="H113" s="11">
        <v>1458</v>
      </c>
      <c r="I113" s="11">
        <v>31330</v>
      </c>
      <c r="K113" s="5">
        <v>43495</v>
      </c>
      <c r="L113" s="5">
        <v>44223</v>
      </c>
      <c r="M113" s="11">
        <f t="shared" si="16"/>
        <v>-6362</v>
      </c>
      <c r="N113" s="11">
        <f t="shared" si="17"/>
        <v>-196</v>
      </c>
      <c r="O113" s="11">
        <f t="shared" si="18"/>
        <v>-6558</v>
      </c>
      <c r="P113" s="8">
        <f t="shared" si="19"/>
        <v>-0.17558094607274932</v>
      </c>
      <c r="Q113" s="8">
        <f t="shared" si="20"/>
        <v>-0.1185006045949214</v>
      </c>
      <c r="R113" s="12">
        <f t="shared" si="21"/>
        <v>-0.17308910472972971</v>
      </c>
    </row>
    <row r="114" spans="1:18" x14ac:dyDescent="0.2">
      <c r="A114" s="5">
        <v>43493</v>
      </c>
      <c r="B114" s="11">
        <v>37023</v>
      </c>
      <c r="C114" s="11">
        <v>1671</v>
      </c>
      <c r="D114" s="11">
        <v>38694</v>
      </c>
      <c r="F114" s="5">
        <v>44224</v>
      </c>
      <c r="G114" s="11">
        <v>29751</v>
      </c>
      <c r="H114" s="11">
        <v>1595</v>
      </c>
      <c r="I114" s="11">
        <v>31346</v>
      </c>
      <c r="K114" s="5">
        <v>43496</v>
      </c>
      <c r="L114" s="5">
        <v>44224</v>
      </c>
      <c r="M114" s="11">
        <f t="shared" ref="M114:M117" si="22">G114-B117</f>
        <v>-9720</v>
      </c>
      <c r="N114" s="11">
        <f t="shared" ref="N114:N117" si="23">H114-C117</f>
        <v>-108</v>
      </c>
      <c r="O114" s="11">
        <f t="shared" ref="O114:O117" si="24">I114-D117</f>
        <v>-9828</v>
      </c>
      <c r="P114" s="8">
        <f t="shared" ref="P114:P117" si="25">G114/B117-1</f>
        <v>-0.24625674545869114</v>
      </c>
      <c r="Q114" s="8">
        <f t="shared" ref="Q114:Q117" si="26">H114/C117-1</f>
        <v>-6.3417498532002403E-2</v>
      </c>
      <c r="R114" s="12">
        <f t="shared" ref="R114:R117" si="27">I114/D117-1</f>
        <v>-0.2386943216592996</v>
      </c>
    </row>
    <row r="115" spans="1:18" x14ac:dyDescent="0.2">
      <c r="A115" s="5">
        <v>43494</v>
      </c>
      <c r="B115" s="11">
        <v>38129</v>
      </c>
      <c r="C115" s="11">
        <v>1710</v>
      </c>
      <c r="D115" s="11">
        <v>39839</v>
      </c>
      <c r="F115" s="5">
        <v>44225</v>
      </c>
      <c r="G115" s="11">
        <v>32676</v>
      </c>
      <c r="H115" s="11">
        <v>1408</v>
      </c>
      <c r="I115" s="11">
        <v>34084</v>
      </c>
      <c r="K115" s="5">
        <v>43497</v>
      </c>
      <c r="L115" s="5">
        <v>44225</v>
      </c>
      <c r="M115" s="11">
        <f t="shared" si="22"/>
        <v>-6406</v>
      </c>
      <c r="N115" s="11">
        <f t="shared" si="23"/>
        <v>-91</v>
      </c>
      <c r="O115" s="11">
        <f t="shared" si="24"/>
        <v>-6497</v>
      </c>
      <c r="P115" s="8">
        <f t="shared" si="25"/>
        <v>-0.16391177524179934</v>
      </c>
      <c r="Q115" s="8">
        <f t="shared" si="26"/>
        <v>-6.0707138092061408E-2</v>
      </c>
      <c r="R115" s="12">
        <f t="shared" si="27"/>
        <v>-0.16009955397846287</v>
      </c>
    </row>
    <row r="116" spans="1:18" x14ac:dyDescent="0.2">
      <c r="A116" s="5">
        <v>43495</v>
      </c>
      <c r="B116" s="11">
        <v>36234</v>
      </c>
      <c r="C116" s="11">
        <v>1654</v>
      </c>
      <c r="D116" s="11">
        <v>37888</v>
      </c>
      <c r="F116" s="5">
        <v>44226</v>
      </c>
      <c r="G116" s="11">
        <v>25163</v>
      </c>
      <c r="H116" s="11">
        <v>305</v>
      </c>
      <c r="I116" s="11">
        <v>25468</v>
      </c>
      <c r="K116" s="5">
        <v>43498</v>
      </c>
      <c r="L116" s="5">
        <v>44226</v>
      </c>
      <c r="M116" s="11">
        <f t="shared" si="22"/>
        <v>-10270</v>
      </c>
      <c r="N116" s="11">
        <f t="shared" si="23"/>
        <v>-205</v>
      </c>
      <c r="O116" s="11">
        <f t="shared" si="24"/>
        <v>-10475</v>
      </c>
      <c r="P116" s="8">
        <f t="shared" si="25"/>
        <v>-0.28984280190782608</v>
      </c>
      <c r="Q116" s="8">
        <f t="shared" si="26"/>
        <v>-0.40196078431372551</v>
      </c>
      <c r="R116" s="12">
        <f t="shared" si="27"/>
        <v>-0.29143365884873274</v>
      </c>
    </row>
    <row r="117" spans="1:18" x14ac:dyDescent="0.2">
      <c r="A117" s="5">
        <v>43496</v>
      </c>
      <c r="B117" s="11">
        <v>39471</v>
      </c>
      <c r="C117" s="11">
        <v>1703</v>
      </c>
      <c r="D117" s="11">
        <v>41174</v>
      </c>
      <c r="F117" s="5">
        <v>44227</v>
      </c>
      <c r="G117" s="11">
        <v>24131</v>
      </c>
      <c r="H117" s="11">
        <v>101</v>
      </c>
      <c r="I117" s="11">
        <v>24232</v>
      </c>
      <c r="K117" s="5">
        <v>43499</v>
      </c>
      <c r="L117" s="5">
        <v>44227</v>
      </c>
      <c r="M117" s="11">
        <f t="shared" si="22"/>
        <v>-5928</v>
      </c>
      <c r="N117" s="11">
        <f t="shared" si="23"/>
        <v>-67</v>
      </c>
      <c r="O117" s="11">
        <f t="shared" si="24"/>
        <v>-5995</v>
      </c>
      <c r="P117" s="8">
        <f t="shared" si="25"/>
        <v>-0.19721214943943577</v>
      </c>
      <c r="Q117" s="8">
        <f t="shared" si="26"/>
        <v>-0.39880952380952384</v>
      </c>
      <c r="R117" s="12">
        <f t="shared" si="27"/>
        <v>-0.19833261653488599</v>
      </c>
    </row>
    <row r="118" spans="1:18" x14ac:dyDescent="0.2">
      <c r="A118" s="5">
        <v>43497</v>
      </c>
      <c r="B118" s="11">
        <v>39082</v>
      </c>
      <c r="C118" s="11">
        <v>1499</v>
      </c>
      <c r="D118" s="11">
        <v>40581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2">
      <c r="A119" s="5">
        <v>43498</v>
      </c>
      <c r="B119" s="11">
        <v>35433</v>
      </c>
      <c r="C119" s="11">
        <v>510</v>
      </c>
      <c r="D119" s="11">
        <v>35943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2">
      <c r="A120" s="5">
        <v>43499</v>
      </c>
      <c r="B120" s="11">
        <v>30059</v>
      </c>
      <c r="C120" s="11">
        <v>168</v>
      </c>
      <c r="D120" s="11">
        <v>30227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</sheetData>
  <mergeCells count="11">
    <mergeCell ref="A6:D6"/>
    <mergeCell ref="A7:C7"/>
    <mergeCell ref="A9:A10"/>
    <mergeCell ref="F9:F10"/>
    <mergeCell ref="K9:L10"/>
    <mergeCell ref="A47:A48"/>
    <mergeCell ref="F47:F48"/>
    <mergeCell ref="K47:L48"/>
    <mergeCell ref="A85:A86"/>
    <mergeCell ref="F85:F86"/>
    <mergeCell ref="K85:L86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R120"/>
  <sheetViews>
    <sheetView zoomScale="70" zoomScaleNormal="70" workbookViewId="0"/>
  </sheetViews>
  <sheetFormatPr baseColWidth="10" defaultRowHeight="12.75" x14ac:dyDescent="0.2"/>
  <cols>
    <col min="1" max="1" width="29.42578125" customWidth="1"/>
    <col min="2" max="2" width="12.85546875" bestFit="1" customWidth="1"/>
    <col min="3" max="3" width="7.85546875" customWidth="1"/>
    <col min="4" max="4" width="15.85546875" bestFit="1" customWidth="1"/>
    <col min="5" max="5" width="1.140625" customWidth="1"/>
    <col min="6" max="6" width="30" customWidth="1"/>
    <col min="7" max="7" width="12.85546875" bestFit="1" customWidth="1"/>
    <col min="8" max="8" width="7.85546875" bestFit="1" customWidth="1"/>
    <col min="9" max="9" width="15.85546875" bestFit="1" customWidth="1"/>
    <col min="10" max="10" width="0.85546875" customWidth="1"/>
    <col min="11" max="11" width="29.42578125" customWidth="1"/>
    <col min="12" max="12" width="29.5703125" customWidth="1"/>
    <col min="13" max="13" width="12.85546875" bestFit="1" customWidth="1"/>
    <col min="14" max="14" width="7.42578125" bestFit="1" customWidth="1"/>
    <col min="15" max="15" width="15.85546875" bestFit="1" customWidth="1"/>
    <col min="16" max="16" width="12.85546875" bestFit="1" customWidth="1"/>
    <col min="17" max="17" width="7.140625" bestFit="1" customWidth="1"/>
    <col min="18" max="18" width="15.85546875" style="9" bestFit="1" customWidth="1"/>
  </cols>
  <sheetData>
    <row r="1" spans="1:18" ht="15.75" x14ac:dyDescent="0.25">
      <c r="A1" s="10" t="s">
        <v>49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1" t="s">
        <v>47</v>
      </c>
      <c r="B6" s="22"/>
      <c r="C6" s="22"/>
      <c r="D6" s="22"/>
      <c r="E6" s="17"/>
      <c r="F6" s="17"/>
      <c r="G6" s="17"/>
    </row>
    <row r="7" spans="1:18" ht="15" x14ac:dyDescent="0.2">
      <c r="A7" s="21" t="s">
        <v>48</v>
      </c>
      <c r="B7" s="22"/>
      <c r="C7" s="22"/>
    </row>
    <row r="9" spans="1:18" ht="12.95" customHeight="1" x14ac:dyDescent="0.2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5" customHeight="1" x14ac:dyDescent="0.2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">
      <c r="A11" s="5">
        <v>43466</v>
      </c>
      <c r="B11" s="11">
        <v>78854</v>
      </c>
      <c r="C11" s="11">
        <v>485</v>
      </c>
      <c r="D11" s="11">
        <v>79339</v>
      </c>
      <c r="F11" s="5">
        <v>44197</v>
      </c>
      <c r="G11" s="11">
        <v>55435</v>
      </c>
      <c r="H11" s="11">
        <v>369</v>
      </c>
      <c r="I11" s="11">
        <v>55804</v>
      </c>
      <c r="K11" s="5">
        <v>43469</v>
      </c>
      <c r="L11" s="5">
        <v>44197</v>
      </c>
      <c r="M11" s="11">
        <v>-55478</v>
      </c>
      <c r="N11" s="11">
        <v>-7119</v>
      </c>
      <c r="O11" s="11">
        <v>-62597</v>
      </c>
      <c r="P11" s="8">
        <v>-0.50019384562675251</v>
      </c>
      <c r="Q11" s="8">
        <v>-0.95072115384615385</v>
      </c>
      <c r="R11" s="12">
        <v>-0.52868641312151077</v>
      </c>
    </row>
    <row r="12" spans="1:18" x14ac:dyDescent="0.2">
      <c r="A12" s="5">
        <v>43467</v>
      </c>
      <c r="B12" s="11">
        <v>99979</v>
      </c>
      <c r="C12" s="11">
        <v>2612</v>
      </c>
      <c r="D12" s="11">
        <v>102591</v>
      </c>
      <c r="F12" s="5">
        <v>44198</v>
      </c>
      <c r="G12" s="11">
        <v>81467</v>
      </c>
      <c r="H12" s="11">
        <v>1317</v>
      </c>
      <c r="I12" s="11">
        <v>82784</v>
      </c>
      <c r="K12" s="5">
        <v>43470</v>
      </c>
      <c r="L12" s="5">
        <v>44198</v>
      </c>
      <c r="M12" s="11">
        <v>-19605</v>
      </c>
      <c r="N12" s="11">
        <v>-770</v>
      </c>
      <c r="O12" s="11">
        <v>-20375</v>
      </c>
      <c r="P12" s="8">
        <v>-0.19397063479499765</v>
      </c>
      <c r="Q12" s="8">
        <v>-0.36895064686152368</v>
      </c>
      <c r="R12" s="12">
        <v>-0.1975106389166239</v>
      </c>
    </row>
    <row r="13" spans="1:18" x14ac:dyDescent="0.2">
      <c r="A13" s="5">
        <v>43468</v>
      </c>
      <c r="B13" s="11">
        <v>103591</v>
      </c>
      <c r="C13" s="11">
        <v>7528</v>
      </c>
      <c r="D13" s="11">
        <v>111119</v>
      </c>
      <c r="F13" s="5">
        <v>44199</v>
      </c>
      <c r="G13" s="11">
        <v>67336</v>
      </c>
      <c r="H13" s="11">
        <v>503</v>
      </c>
      <c r="I13" s="11">
        <v>67839</v>
      </c>
      <c r="K13" s="5">
        <v>43471</v>
      </c>
      <c r="L13" s="5">
        <v>44199</v>
      </c>
      <c r="M13" s="11">
        <v>-19642</v>
      </c>
      <c r="N13" s="11">
        <v>-136</v>
      </c>
      <c r="O13" s="11">
        <v>-19778</v>
      </c>
      <c r="P13" s="8">
        <v>-0.22582722067649286</v>
      </c>
      <c r="Q13" s="8">
        <v>-0.21283255086071984</v>
      </c>
      <c r="R13" s="12">
        <v>-0.22573244918223634</v>
      </c>
    </row>
    <row r="14" spans="1:18" x14ac:dyDescent="0.2">
      <c r="A14" s="5">
        <v>43469</v>
      </c>
      <c r="B14" s="11">
        <v>110913</v>
      </c>
      <c r="C14" s="11">
        <v>7488</v>
      </c>
      <c r="D14" s="11">
        <v>118401</v>
      </c>
      <c r="F14" s="5">
        <v>44200</v>
      </c>
      <c r="G14" s="11">
        <v>83351</v>
      </c>
      <c r="H14" s="11">
        <v>7448</v>
      </c>
      <c r="I14" s="11">
        <v>90799</v>
      </c>
      <c r="K14" s="5">
        <v>43472</v>
      </c>
      <c r="L14" s="5">
        <v>44200</v>
      </c>
      <c r="M14" s="11">
        <v>-18660</v>
      </c>
      <c r="N14" s="11">
        <v>-1806</v>
      </c>
      <c r="O14" s="11">
        <v>-20466</v>
      </c>
      <c r="P14" s="8">
        <v>-0.18292144964758705</v>
      </c>
      <c r="Q14" s="8">
        <v>-0.19515885022692891</v>
      </c>
      <c r="R14" s="12">
        <v>-0.18393924414685658</v>
      </c>
    </row>
    <row r="15" spans="1:18" x14ac:dyDescent="0.2">
      <c r="A15" s="5">
        <v>43470</v>
      </c>
      <c r="B15" s="11">
        <v>101072</v>
      </c>
      <c r="C15" s="11">
        <v>2087</v>
      </c>
      <c r="D15" s="11">
        <v>103159</v>
      </c>
      <c r="F15" s="5">
        <v>44201</v>
      </c>
      <c r="G15" s="11">
        <v>86835</v>
      </c>
      <c r="H15" s="11">
        <v>8900</v>
      </c>
      <c r="I15" s="11">
        <v>95735</v>
      </c>
      <c r="K15" s="5">
        <v>43473</v>
      </c>
      <c r="L15" s="5">
        <v>44201</v>
      </c>
      <c r="M15" s="11">
        <v>-17551</v>
      </c>
      <c r="N15" s="11">
        <v>-1345</v>
      </c>
      <c r="O15" s="11">
        <v>-18896</v>
      </c>
      <c r="P15" s="8">
        <v>-0.16813557373594157</v>
      </c>
      <c r="Q15" s="8">
        <v>-0.13128355295265981</v>
      </c>
      <c r="R15" s="12">
        <v>-0.16484197119452848</v>
      </c>
    </row>
    <row r="16" spans="1:18" x14ac:dyDescent="0.2">
      <c r="A16" s="5">
        <v>43471</v>
      </c>
      <c r="B16" s="11">
        <v>86978</v>
      </c>
      <c r="C16" s="11">
        <v>639</v>
      </c>
      <c r="D16" s="11">
        <v>87617</v>
      </c>
      <c r="F16" s="5">
        <v>44202</v>
      </c>
      <c r="G16" s="11">
        <v>87184</v>
      </c>
      <c r="H16" s="11">
        <v>8571</v>
      </c>
      <c r="I16" s="11">
        <v>95755</v>
      </c>
      <c r="K16" s="5">
        <v>43474</v>
      </c>
      <c r="L16" s="5">
        <v>44202</v>
      </c>
      <c r="M16" s="11">
        <v>-19771</v>
      </c>
      <c r="N16" s="11">
        <v>-1985</v>
      </c>
      <c r="O16" s="11">
        <v>-21756</v>
      </c>
      <c r="P16" s="8">
        <v>-0.18485344303679119</v>
      </c>
      <c r="Q16" s="8">
        <v>-0.1880447139067829</v>
      </c>
      <c r="R16" s="12">
        <v>-0.18514011454246837</v>
      </c>
    </row>
    <row r="17" spans="1:18" x14ac:dyDescent="0.2">
      <c r="A17" s="5">
        <v>43472</v>
      </c>
      <c r="B17" s="11">
        <v>102011</v>
      </c>
      <c r="C17" s="11">
        <v>9254</v>
      </c>
      <c r="D17" s="11">
        <v>111265</v>
      </c>
      <c r="F17" s="5">
        <v>44203</v>
      </c>
      <c r="G17" s="11">
        <v>91595</v>
      </c>
      <c r="H17" s="11">
        <v>9013</v>
      </c>
      <c r="I17" s="11">
        <v>100608</v>
      </c>
      <c r="K17" s="5">
        <v>43475</v>
      </c>
      <c r="L17" s="5">
        <v>44203</v>
      </c>
      <c r="M17" s="11">
        <v>-12461</v>
      </c>
      <c r="N17" s="11">
        <v>-1555</v>
      </c>
      <c r="O17" s="11">
        <v>-14016</v>
      </c>
      <c r="P17" s="8">
        <v>-0.11975282540170673</v>
      </c>
      <c r="Q17" s="8">
        <v>-0.1471423164269493</v>
      </c>
      <c r="R17" s="12">
        <v>-0.1222780569514238</v>
      </c>
    </row>
    <row r="18" spans="1:18" x14ac:dyDescent="0.2">
      <c r="A18" s="5">
        <v>43473</v>
      </c>
      <c r="B18" s="11">
        <v>104386</v>
      </c>
      <c r="C18" s="11">
        <v>10245</v>
      </c>
      <c r="D18" s="11">
        <v>114631</v>
      </c>
      <c r="F18" s="5">
        <v>44204</v>
      </c>
      <c r="G18" s="11">
        <v>98812</v>
      </c>
      <c r="H18" s="11">
        <v>8953</v>
      </c>
      <c r="I18" s="11">
        <v>107765</v>
      </c>
      <c r="K18" s="5">
        <v>43476</v>
      </c>
      <c r="L18" s="5">
        <v>44204</v>
      </c>
      <c r="M18" s="11">
        <v>-18322</v>
      </c>
      <c r="N18" s="11">
        <v>-1122</v>
      </c>
      <c r="O18" s="11">
        <v>-19444</v>
      </c>
      <c r="P18" s="8">
        <v>-0.15641914388648903</v>
      </c>
      <c r="Q18" s="8">
        <v>-0.11136476426799002</v>
      </c>
      <c r="R18" s="12">
        <v>-0.15285082030359487</v>
      </c>
    </row>
    <row r="19" spans="1:18" x14ac:dyDescent="0.2">
      <c r="A19" s="5">
        <v>43474</v>
      </c>
      <c r="B19" s="11">
        <v>106955</v>
      </c>
      <c r="C19" s="11">
        <v>10556</v>
      </c>
      <c r="D19" s="11">
        <v>117511</v>
      </c>
      <c r="F19" s="5">
        <v>44205</v>
      </c>
      <c r="G19" s="11">
        <v>90085</v>
      </c>
      <c r="H19" s="11">
        <v>1941</v>
      </c>
      <c r="I19" s="11">
        <v>92026</v>
      </c>
      <c r="K19" s="5">
        <v>43477</v>
      </c>
      <c r="L19" s="5">
        <v>44205</v>
      </c>
      <c r="M19" s="11">
        <v>-21894</v>
      </c>
      <c r="N19" s="11">
        <v>-424</v>
      </c>
      <c r="O19" s="11">
        <v>-22318</v>
      </c>
      <c r="P19" s="8">
        <v>-0.19551880263263643</v>
      </c>
      <c r="Q19" s="8">
        <v>-0.17928118393234671</v>
      </c>
      <c r="R19" s="12">
        <v>-0.19518295669208707</v>
      </c>
    </row>
    <row r="20" spans="1:18" x14ac:dyDescent="0.2">
      <c r="A20" s="5">
        <v>43475</v>
      </c>
      <c r="B20" s="11">
        <v>104056</v>
      </c>
      <c r="C20" s="11">
        <v>10568</v>
      </c>
      <c r="D20" s="11">
        <v>114624</v>
      </c>
      <c r="F20" s="5">
        <v>44206</v>
      </c>
      <c r="G20" s="11">
        <v>70395</v>
      </c>
      <c r="H20" s="11">
        <v>504</v>
      </c>
      <c r="I20" s="11">
        <v>70899</v>
      </c>
      <c r="K20" s="5">
        <v>43478</v>
      </c>
      <c r="L20" s="5">
        <v>44206</v>
      </c>
      <c r="M20" s="11">
        <v>-20076</v>
      </c>
      <c r="N20" s="11">
        <v>-187</v>
      </c>
      <c r="O20" s="11">
        <v>-20263</v>
      </c>
      <c r="P20" s="8">
        <v>-0.22190536193918498</v>
      </c>
      <c r="Q20" s="8">
        <v>-0.27062228654124454</v>
      </c>
      <c r="R20" s="12">
        <v>-0.22227463197384878</v>
      </c>
    </row>
    <row r="21" spans="1:18" x14ac:dyDescent="0.2">
      <c r="A21" s="5">
        <v>43476</v>
      </c>
      <c r="B21" s="11">
        <v>117134</v>
      </c>
      <c r="C21" s="11">
        <v>10075</v>
      </c>
      <c r="D21" s="11">
        <v>127209</v>
      </c>
      <c r="F21" s="5">
        <v>44207</v>
      </c>
      <c r="G21" s="11">
        <v>93975</v>
      </c>
      <c r="H21" s="11">
        <v>10045</v>
      </c>
      <c r="I21" s="11">
        <v>104020</v>
      </c>
      <c r="K21" s="5">
        <v>43479</v>
      </c>
      <c r="L21" s="5">
        <v>44207</v>
      </c>
      <c r="M21" s="11">
        <v>-14469</v>
      </c>
      <c r="N21" s="11">
        <v>-433</v>
      </c>
      <c r="O21" s="11">
        <v>-14902</v>
      </c>
      <c r="P21" s="8">
        <v>-0.13342370255615799</v>
      </c>
      <c r="Q21" s="8">
        <v>-4.1324680282496695E-2</v>
      </c>
      <c r="R21" s="12">
        <v>-0.12530902608432415</v>
      </c>
    </row>
    <row r="22" spans="1:18" x14ac:dyDescent="0.2">
      <c r="A22" s="5">
        <v>43477</v>
      </c>
      <c r="B22" s="11">
        <v>111979</v>
      </c>
      <c r="C22" s="11">
        <v>2365</v>
      </c>
      <c r="D22" s="11">
        <v>114344</v>
      </c>
      <c r="F22" s="5">
        <v>44208</v>
      </c>
      <c r="G22" s="11">
        <v>86967</v>
      </c>
      <c r="H22" s="11">
        <v>10886</v>
      </c>
      <c r="I22" s="11">
        <v>97853</v>
      </c>
      <c r="K22" s="5">
        <v>43480</v>
      </c>
      <c r="L22" s="5">
        <v>44208</v>
      </c>
      <c r="M22" s="11">
        <v>-25477</v>
      </c>
      <c r="N22" s="11">
        <v>-434</v>
      </c>
      <c r="O22" s="11">
        <v>-25911</v>
      </c>
      <c r="P22" s="8">
        <v>-0.22657500622532101</v>
      </c>
      <c r="Q22" s="8">
        <v>-3.8339222614841018E-2</v>
      </c>
      <c r="R22" s="12">
        <v>-0.20935813322129215</v>
      </c>
    </row>
    <row r="23" spans="1:18" x14ac:dyDescent="0.2">
      <c r="A23" s="5">
        <v>43478</v>
      </c>
      <c r="B23" s="11">
        <v>90471</v>
      </c>
      <c r="C23" s="11">
        <v>691</v>
      </c>
      <c r="D23" s="11">
        <v>91162</v>
      </c>
      <c r="F23" s="5">
        <v>44209</v>
      </c>
      <c r="G23" s="11">
        <v>93116</v>
      </c>
      <c r="H23" s="11">
        <v>10941</v>
      </c>
      <c r="I23" s="11">
        <v>104057</v>
      </c>
      <c r="K23" s="5">
        <v>43481</v>
      </c>
      <c r="L23" s="5">
        <v>44209</v>
      </c>
      <c r="M23" s="11">
        <v>-22120</v>
      </c>
      <c r="N23" s="11">
        <v>-294</v>
      </c>
      <c r="O23" s="11">
        <v>-22414</v>
      </c>
      <c r="P23" s="8">
        <v>-0.19195390329410944</v>
      </c>
      <c r="Q23" s="8">
        <v>-2.6168224299065401E-2</v>
      </c>
      <c r="R23" s="12">
        <v>-0.17722639972800092</v>
      </c>
    </row>
    <row r="24" spans="1:18" x14ac:dyDescent="0.2">
      <c r="A24" s="5">
        <v>43479</v>
      </c>
      <c r="B24" s="11">
        <v>108444</v>
      </c>
      <c r="C24" s="11">
        <v>10478</v>
      </c>
      <c r="D24" s="11">
        <v>118922</v>
      </c>
      <c r="F24" s="5">
        <v>44210</v>
      </c>
      <c r="G24" s="11">
        <v>79449</v>
      </c>
      <c r="H24" s="11">
        <v>10075</v>
      </c>
      <c r="I24" s="11">
        <v>89524</v>
      </c>
      <c r="K24" s="5">
        <v>43482</v>
      </c>
      <c r="L24" s="5">
        <v>44210</v>
      </c>
      <c r="M24" s="11">
        <v>-35876</v>
      </c>
      <c r="N24" s="11">
        <v>-1336</v>
      </c>
      <c r="O24" s="11">
        <v>-37212</v>
      </c>
      <c r="P24" s="8">
        <v>-0.31108606113158466</v>
      </c>
      <c r="Q24" s="8">
        <v>-0.11708001051616856</v>
      </c>
      <c r="R24" s="12">
        <v>-0.29361823002146192</v>
      </c>
    </row>
    <row r="25" spans="1:18" x14ac:dyDescent="0.2">
      <c r="A25" s="5">
        <v>43480</v>
      </c>
      <c r="B25" s="11">
        <v>112444</v>
      </c>
      <c r="C25" s="11">
        <v>11320</v>
      </c>
      <c r="D25" s="11">
        <v>123764</v>
      </c>
      <c r="F25" s="5">
        <v>44211</v>
      </c>
      <c r="G25" s="11">
        <v>73057</v>
      </c>
      <c r="H25" s="11">
        <v>8976</v>
      </c>
      <c r="I25" s="11">
        <v>82033</v>
      </c>
      <c r="K25" s="5">
        <v>43483</v>
      </c>
      <c r="L25" s="5">
        <v>44211</v>
      </c>
      <c r="M25" s="11">
        <v>-51459</v>
      </c>
      <c r="N25" s="11">
        <v>-1477</v>
      </c>
      <c r="O25" s="11">
        <v>-52936</v>
      </c>
      <c r="P25" s="8">
        <v>-0.41327218991936776</v>
      </c>
      <c r="Q25" s="8">
        <v>-0.14129914856978854</v>
      </c>
      <c r="R25" s="12">
        <v>-0.39220858122976388</v>
      </c>
    </row>
    <row r="26" spans="1:18" x14ac:dyDescent="0.2">
      <c r="A26" s="5">
        <v>43481</v>
      </c>
      <c r="B26" s="11">
        <v>115236</v>
      </c>
      <c r="C26" s="11">
        <v>11235</v>
      </c>
      <c r="D26" s="11">
        <v>126471</v>
      </c>
      <c r="F26" s="5">
        <v>44212</v>
      </c>
      <c r="G26" s="11">
        <v>81539</v>
      </c>
      <c r="H26" s="11">
        <v>2559</v>
      </c>
      <c r="I26" s="11">
        <v>84098</v>
      </c>
      <c r="K26" s="5">
        <v>43484</v>
      </c>
      <c r="L26" s="5">
        <v>44212</v>
      </c>
      <c r="M26" s="11">
        <v>-42167</v>
      </c>
      <c r="N26" s="11">
        <v>262</v>
      </c>
      <c r="O26" s="11">
        <v>-41905</v>
      </c>
      <c r="P26" s="8">
        <v>-0.3408646306565567</v>
      </c>
      <c r="Q26" s="8">
        <v>0.11406181976491081</v>
      </c>
      <c r="R26" s="12">
        <v>-0.33257144671158623</v>
      </c>
    </row>
    <row r="27" spans="1:18" x14ac:dyDescent="0.2">
      <c r="A27" s="5">
        <v>43482</v>
      </c>
      <c r="B27" s="11">
        <v>115325</v>
      </c>
      <c r="C27" s="11">
        <v>11411</v>
      </c>
      <c r="D27" s="11">
        <v>126736</v>
      </c>
      <c r="F27" s="5">
        <v>44213</v>
      </c>
      <c r="G27" s="11">
        <v>52819</v>
      </c>
      <c r="H27" s="11">
        <v>519</v>
      </c>
      <c r="I27" s="11">
        <v>53338</v>
      </c>
      <c r="K27" s="5">
        <v>43485</v>
      </c>
      <c r="L27" s="5">
        <v>44213</v>
      </c>
      <c r="M27" s="11">
        <v>-45193</v>
      </c>
      <c r="N27" s="11">
        <v>-183</v>
      </c>
      <c r="O27" s="11">
        <v>-45376</v>
      </c>
      <c r="P27" s="8">
        <v>-0.46109660041627554</v>
      </c>
      <c r="Q27" s="8">
        <v>-0.26068376068376065</v>
      </c>
      <c r="R27" s="12">
        <v>-0.45967137386794177</v>
      </c>
    </row>
    <row r="28" spans="1:18" x14ac:dyDescent="0.2">
      <c r="A28" s="5">
        <v>43483</v>
      </c>
      <c r="B28" s="11">
        <v>124516</v>
      </c>
      <c r="C28" s="11">
        <v>10453</v>
      </c>
      <c r="D28" s="11">
        <v>134969</v>
      </c>
      <c r="F28" s="5">
        <v>44214</v>
      </c>
      <c r="G28" s="11">
        <v>83601</v>
      </c>
      <c r="H28" s="11">
        <v>10574</v>
      </c>
      <c r="I28" s="11">
        <v>94175</v>
      </c>
      <c r="K28" s="5">
        <v>43486</v>
      </c>
      <c r="L28" s="5">
        <v>44214</v>
      </c>
      <c r="M28" s="11">
        <v>-26584</v>
      </c>
      <c r="N28" s="11">
        <v>72</v>
      </c>
      <c r="O28" s="11">
        <v>-26512</v>
      </c>
      <c r="P28" s="8">
        <v>-0.24126696011253801</v>
      </c>
      <c r="Q28" s="8">
        <v>6.855836983431729E-3</v>
      </c>
      <c r="R28" s="12">
        <v>-0.21967569000803733</v>
      </c>
    </row>
    <row r="29" spans="1:18" x14ac:dyDescent="0.2">
      <c r="A29" s="5">
        <v>43484</v>
      </c>
      <c r="B29" s="11">
        <v>123706</v>
      </c>
      <c r="C29" s="11">
        <v>2297</v>
      </c>
      <c r="D29" s="11">
        <v>126003</v>
      </c>
      <c r="F29" s="5">
        <v>44215</v>
      </c>
      <c r="G29" s="11">
        <v>87472</v>
      </c>
      <c r="H29" s="11">
        <v>11439</v>
      </c>
      <c r="I29" s="11">
        <v>98911</v>
      </c>
      <c r="K29" s="5">
        <v>43487</v>
      </c>
      <c r="L29" s="5">
        <v>44215</v>
      </c>
      <c r="M29" s="11">
        <v>-25699</v>
      </c>
      <c r="N29" s="11">
        <v>128</v>
      </c>
      <c r="O29" s="11">
        <v>-25571</v>
      </c>
      <c r="P29" s="8">
        <v>-0.2270811426955669</v>
      </c>
      <c r="Q29" s="8">
        <v>1.131641764653879E-2</v>
      </c>
      <c r="R29" s="12">
        <v>-0.20541925740267675</v>
      </c>
    </row>
    <row r="30" spans="1:18" x14ac:dyDescent="0.2">
      <c r="A30" s="5">
        <v>43485</v>
      </c>
      <c r="B30" s="11">
        <v>98012</v>
      </c>
      <c r="C30" s="11">
        <v>702</v>
      </c>
      <c r="D30" s="11">
        <v>98714</v>
      </c>
      <c r="F30" s="5">
        <v>44216</v>
      </c>
      <c r="G30" s="11">
        <v>90714</v>
      </c>
      <c r="H30" s="11">
        <v>11590</v>
      </c>
      <c r="I30" s="11">
        <v>102304</v>
      </c>
      <c r="K30" s="5">
        <v>43488</v>
      </c>
      <c r="L30" s="5">
        <v>44216</v>
      </c>
      <c r="M30" s="11">
        <v>-25372</v>
      </c>
      <c r="N30" s="11">
        <v>335</v>
      </c>
      <c r="O30" s="11">
        <v>-25037</v>
      </c>
      <c r="P30" s="8">
        <v>-0.21856210051168956</v>
      </c>
      <c r="Q30" s="8">
        <v>2.9764549089293713E-2</v>
      </c>
      <c r="R30" s="12">
        <v>-0.19661381644560671</v>
      </c>
    </row>
    <row r="31" spans="1:18" x14ac:dyDescent="0.2">
      <c r="A31" s="5">
        <v>43486</v>
      </c>
      <c r="B31" s="11">
        <v>110185</v>
      </c>
      <c r="C31" s="11">
        <v>10502</v>
      </c>
      <c r="D31" s="11">
        <v>120687</v>
      </c>
      <c r="F31" s="5">
        <v>44217</v>
      </c>
      <c r="G31" s="11">
        <v>92521</v>
      </c>
      <c r="H31" s="11">
        <v>11609</v>
      </c>
      <c r="I31" s="11">
        <v>104130</v>
      </c>
      <c r="K31" s="5">
        <v>43489</v>
      </c>
      <c r="L31" s="5">
        <v>44217</v>
      </c>
      <c r="M31" s="11">
        <v>-24767</v>
      </c>
      <c r="N31" s="11">
        <v>417</v>
      </c>
      <c r="O31" s="11">
        <v>-24350</v>
      </c>
      <c r="P31" s="8">
        <v>-0.21116397244389873</v>
      </c>
      <c r="Q31" s="8">
        <v>3.7258756254467507E-2</v>
      </c>
      <c r="R31" s="12">
        <v>-0.18952366127023657</v>
      </c>
    </row>
    <row r="32" spans="1:18" x14ac:dyDescent="0.2">
      <c r="A32" s="5">
        <v>43487</v>
      </c>
      <c r="B32" s="11">
        <v>113171</v>
      </c>
      <c r="C32" s="11">
        <v>11311</v>
      </c>
      <c r="D32" s="11">
        <v>124482</v>
      </c>
      <c r="F32" s="5">
        <v>44218</v>
      </c>
      <c r="G32" s="11">
        <v>99931</v>
      </c>
      <c r="H32" s="11">
        <v>10640</v>
      </c>
      <c r="I32" s="11">
        <v>110571</v>
      </c>
      <c r="K32" s="5">
        <v>43490</v>
      </c>
      <c r="L32" s="5">
        <v>44218</v>
      </c>
      <c r="M32" s="11">
        <v>-28454</v>
      </c>
      <c r="N32" s="11">
        <v>173</v>
      </c>
      <c r="O32" s="11">
        <v>-28281</v>
      </c>
      <c r="P32" s="8">
        <v>-0.22163025275538417</v>
      </c>
      <c r="Q32" s="8">
        <v>1.6528136046622732E-2</v>
      </c>
      <c r="R32" s="12">
        <v>-0.2036772966900009</v>
      </c>
    </row>
    <row r="33" spans="1:18" x14ac:dyDescent="0.2">
      <c r="A33" s="5">
        <v>43488</v>
      </c>
      <c r="B33" s="11">
        <v>116086</v>
      </c>
      <c r="C33" s="11">
        <v>11255</v>
      </c>
      <c r="D33" s="11">
        <v>127341</v>
      </c>
      <c r="F33" s="5">
        <v>44219</v>
      </c>
      <c r="G33" s="11">
        <v>85320</v>
      </c>
      <c r="H33" s="11">
        <v>2245</v>
      </c>
      <c r="I33" s="11">
        <v>87565</v>
      </c>
      <c r="K33" s="5">
        <v>43491</v>
      </c>
      <c r="L33" s="5">
        <v>44219</v>
      </c>
      <c r="M33" s="11">
        <v>-42166</v>
      </c>
      <c r="N33" s="11">
        <v>-85</v>
      </c>
      <c r="O33" s="11">
        <v>-42251</v>
      </c>
      <c r="P33" s="8">
        <v>-0.33075004314199208</v>
      </c>
      <c r="Q33" s="8">
        <v>-3.648068669527893E-2</v>
      </c>
      <c r="R33" s="12">
        <v>-0.3254683552104517</v>
      </c>
    </row>
    <row r="34" spans="1:18" x14ac:dyDescent="0.2">
      <c r="A34" s="5">
        <v>43489</v>
      </c>
      <c r="B34" s="11">
        <v>117288</v>
      </c>
      <c r="C34" s="11">
        <v>11192</v>
      </c>
      <c r="D34" s="11">
        <v>128480</v>
      </c>
      <c r="F34" s="5">
        <v>44220</v>
      </c>
      <c r="G34" s="11">
        <v>70617</v>
      </c>
      <c r="H34" s="11">
        <v>506</v>
      </c>
      <c r="I34" s="11">
        <v>71123</v>
      </c>
      <c r="K34" s="5">
        <v>43492</v>
      </c>
      <c r="L34" s="5">
        <v>44220</v>
      </c>
      <c r="M34" s="11">
        <v>-30963</v>
      </c>
      <c r="N34" s="11">
        <v>-254</v>
      </c>
      <c r="O34" s="11">
        <v>-31217</v>
      </c>
      <c r="P34" s="8">
        <v>-0.30481393975191962</v>
      </c>
      <c r="Q34" s="8">
        <v>-0.33421052631578951</v>
      </c>
      <c r="R34" s="12">
        <v>-0.30503224545632202</v>
      </c>
    </row>
    <row r="35" spans="1:18" x14ac:dyDescent="0.2">
      <c r="A35" s="5">
        <v>43490</v>
      </c>
      <c r="B35" s="11">
        <v>128385</v>
      </c>
      <c r="C35" s="11">
        <v>10467</v>
      </c>
      <c r="D35" s="11">
        <v>138852</v>
      </c>
      <c r="F35" s="5">
        <v>44221</v>
      </c>
      <c r="G35" s="11">
        <v>84374</v>
      </c>
      <c r="H35" s="11">
        <v>10882</v>
      </c>
      <c r="I35" s="11">
        <v>95256</v>
      </c>
      <c r="K35" s="5">
        <v>43493</v>
      </c>
      <c r="L35" s="5">
        <v>44221</v>
      </c>
      <c r="M35" s="11">
        <f>G35-B38</f>
        <v>-25145</v>
      </c>
      <c r="N35" s="11">
        <f t="shared" ref="N35:O41" si="0">H35-C38</f>
        <v>87</v>
      </c>
      <c r="O35" s="11">
        <f t="shared" si="0"/>
        <v>-25058</v>
      </c>
      <c r="P35" s="8">
        <f>G35/B38-1</f>
        <v>-0.22959486481797675</v>
      </c>
      <c r="Q35" s="8">
        <f t="shared" ref="Q35:R41" si="1">H35/C38-1</f>
        <v>8.059286706808777E-3</v>
      </c>
      <c r="R35" s="12">
        <f t="shared" si="1"/>
        <v>-0.20827168908024007</v>
      </c>
    </row>
    <row r="36" spans="1:18" x14ac:dyDescent="0.2">
      <c r="A36" s="5">
        <v>43491</v>
      </c>
      <c r="B36" s="11">
        <v>127486</v>
      </c>
      <c r="C36" s="11">
        <v>2330</v>
      </c>
      <c r="D36" s="11">
        <v>129816</v>
      </c>
      <c r="F36" s="5">
        <v>44222</v>
      </c>
      <c r="G36" s="11">
        <v>90032</v>
      </c>
      <c r="H36" s="11">
        <v>11565</v>
      </c>
      <c r="I36" s="11">
        <v>101597</v>
      </c>
      <c r="K36" s="5">
        <v>43494</v>
      </c>
      <c r="L36" s="5">
        <v>44222</v>
      </c>
      <c r="M36" s="11">
        <f t="shared" ref="M36:M41" si="2">G36-B39</f>
        <v>-24056</v>
      </c>
      <c r="N36" s="11">
        <f t="shared" si="0"/>
        <v>118</v>
      </c>
      <c r="O36" s="11">
        <f t="shared" si="0"/>
        <v>-23938</v>
      </c>
      <c r="P36" s="8">
        <f t="shared" ref="P36:P41" si="3">G36/B39-1</f>
        <v>-0.21085477876726733</v>
      </c>
      <c r="Q36" s="8">
        <f t="shared" si="1"/>
        <v>1.0308377740892771E-2</v>
      </c>
      <c r="R36" s="12">
        <f t="shared" si="1"/>
        <v>-0.19068785597642091</v>
      </c>
    </row>
    <row r="37" spans="1:18" x14ac:dyDescent="0.2">
      <c r="A37" s="5">
        <v>43492</v>
      </c>
      <c r="B37" s="11">
        <v>101580</v>
      </c>
      <c r="C37" s="11">
        <v>760</v>
      </c>
      <c r="D37" s="11">
        <v>102340</v>
      </c>
      <c r="F37" s="5">
        <v>44223</v>
      </c>
      <c r="G37" s="11">
        <v>87990</v>
      </c>
      <c r="H37" s="11">
        <v>11592</v>
      </c>
      <c r="I37" s="11">
        <v>99582</v>
      </c>
      <c r="K37" s="5">
        <v>43495</v>
      </c>
      <c r="L37" s="5">
        <v>44223</v>
      </c>
      <c r="M37" s="11">
        <f t="shared" si="2"/>
        <v>-28505</v>
      </c>
      <c r="N37" s="11">
        <f t="shared" si="0"/>
        <v>85</v>
      </c>
      <c r="O37" s="11">
        <f t="shared" si="0"/>
        <v>-28420</v>
      </c>
      <c r="P37" s="8">
        <f t="shared" si="3"/>
        <v>-0.24468861324520363</v>
      </c>
      <c r="Q37" s="8">
        <f t="shared" si="1"/>
        <v>7.3868080298948868E-3</v>
      </c>
      <c r="R37" s="12">
        <f t="shared" si="1"/>
        <v>-0.22202778081592478</v>
      </c>
    </row>
    <row r="38" spans="1:18" x14ac:dyDescent="0.2">
      <c r="A38" s="5">
        <v>43493</v>
      </c>
      <c r="B38" s="11">
        <v>109519</v>
      </c>
      <c r="C38" s="11">
        <v>10795</v>
      </c>
      <c r="D38" s="11">
        <v>120314</v>
      </c>
      <c r="F38" s="5">
        <v>44224</v>
      </c>
      <c r="G38" s="11">
        <v>92911</v>
      </c>
      <c r="H38" s="11">
        <v>12007</v>
      </c>
      <c r="I38" s="11">
        <v>104918</v>
      </c>
      <c r="K38" s="5">
        <v>43496</v>
      </c>
      <c r="L38" s="5">
        <v>44224</v>
      </c>
      <c r="M38" s="11">
        <f t="shared" si="2"/>
        <v>-25046</v>
      </c>
      <c r="N38" s="11">
        <f t="shared" si="0"/>
        <v>480</v>
      </c>
      <c r="O38" s="11">
        <f t="shared" si="0"/>
        <v>-24566</v>
      </c>
      <c r="P38" s="8">
        <f t="shared" si="3"/>
        <v>-0.21233161236721854</v>
      </c>
      <c r="Q38" s="8">
        <f t="shared" si="1"/>
        <v>4.1641363754662875E-2</v>
      </c>
      <c r="R38" s="12">
        <f t="shared" si="1"/>
        <v>-0.18972228228970378</v>
      </c>
    </row>
    <row r="39" spans="1:18" x14ac:dyDescent="0.2">
      <c r="A39" s="5">
        <v>43494</v>
      </c>
      <c r="B39" s="11">
        <v>114088</v>
      </c>
      <c r="C39" s="11">
        <v>11447</v>
      </c>
      <c r="D39" s="11">
        <v>125535</v>
      </c>
      <c r="F39" s="5">
        <v>44225</v>
      </c>
      <c r="G39" s="11">
        <v>102523</v>
      </c>
      <c r="H39" s="11">
        <v>10364</v>
      </c>
      <c r="I39" s="11">
        <v>112887</v>
      </c>
      <c r="K39" s="5">
        <v>43497</v>
      </c>
      <c r="L39" s="5">
        <v>44225</v>
      </c>
      <c r="M39" s="11">
        <f t="shared" si="2"/>
        <v>-23149</v>
      </c>
      <c r="N39" s="11">
        <f t="shared" si="0"/>
        <v>53</v>
      </c>
      <c r="O39" s="11">
        <f t="shared" si="0"/>
        <v>-23096</v>
      </c>
      <c r="P39" s="8">
        <f t="shared" si="3"/>
        <v>-0.18420173149150165</v>
      </c>
      <c r="Q39" s="8">
        <f t="shared" si="1"/>
        <v>5.1401415963534536E-3</v>
      </c>
      <c r="R39" s="12">
        <f t="shared" si="1"/>
        <v>-0.16984476000676552</v>
      </c>
    </row>
    <row r="40" spans="1:18" x14ac:dyDescent="0.2">
      <c r="A40" s="5">
        <v>43495</v>
      </c>
      <c r="B40" s="11">
        <v>116495</v>
      </c>
      <c r="C40" s="11">
        <v>11507</v>
      </c>
      <c r="D40" s="11">
        <v>128002</v>
      </c>
      <c r="F40" s="5">
        <v>44226</v>
      </c>
      <c r="G40" s="11">
        <v>92923</v>
      </c>
      <c r="H40" s="11">
        <v>2089</v>
      </c>
      <c r="I40" s="11">
        <v>95012</v>
      </c>
      <c r="K40" s="5">
        <v>43498</v>
      </c>
      <c r="L40" s="5">
        <v>44226</v>
      </c>
      <c r="M40" s="11">
        <f t="shared" si="2"/>
        <v>-34346</v>
      </c>
      <c r="N40" s="11">
        <f t="shared" si="0"/>
        <v>-324</v>
      </c>
      <c r="O40" s="11">
        <f t="shared" si="0"/>
        <v>-34670</v>
      </c>
      <c r="P40" s="8">
        <f t="shared" si="3"/>
        <v>-0.26986933188757667</v>
      </c>
      <c r="Q40" s="8">
        <f t="shared" si="1"/>
        <v>-0.13427268959801075</v>
      </c>
      <c r="R40" s="12">
        <f t="shared" si="1"/>
        <v>-0.26734627781804721</v>
      </c>
    </row>
    <row r="41" spans="1:18" x14ac:dyDescent="0.2">
      <c r="A41" s="5">
        <v>43496</v>
      </c>
      <c r="B41" s="11">
        <v>117957</v>
      </c>
      <c r="C41" s="11">
        <v>11527</v>
      </c>
      <c r="D41" s="11">
        <v>129484</v>
      </c>
      <c r="F41" s="5">
        <v>44227</v>
      </c>
      <c r="G41" s="11">
        <v>70928</v>
      </c>
      <c r="H41" s="11">
        <v>535</v>
      </c>
      <c r="I41" s="11">
        <v>71463</v>
      </c>
      <c r="K41" s="5">
        <v>43499</v>
      </c>
      <c r="L41" s="5">
        <v>44227</v>
      </c>
      <c r="M41" s="11">
        <f t="shared" si="2"/>
        <v>-22889</v>
      </c>
      <c r="N41" s="11">
        <f t="shared" si="0"/>
        <v>-208</v>
      </c>
      <c r="O41" s="11">
        <f t="shared" si="0"/>
        <v>-23097</v>
      </c>
      <c r="P41" s="8">
        <f t="shared" si="3"/>
        <v>-0.24397497255294887</v>
      </c>
      <c r="Q41" s="8">
        <f t="shared" si="1"/>
        <v>-0.27994616419919249</v>
      </c>
      <c r="R41" s="12">
        <f t="shared" si="1"/>
        <v>-0.24425761421319792</v>
      </c>
    </row>
    <row r="42" spans="1:18" x14ac:dyDescent="0.2">
      <c r="A42" s="5">
        <v>43497</v>
      </c>
      <c r="B42" s="11">
        <v>125672</v>
      </c>
      <c r="C42" s="11">
        <v>10311</v>
      </c>
      <c r="D42" s="11">
        <v>135983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">
      <c r="A43" s="5">
        <v>43498</v>
      </c>
      <c r="B43" s="11">
        <v>127269</v>
      </c>
      <c r="C43" s="11">
        <v>2413</v>
      </c>
      <c r="D43" s="11">
        <v>129682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">
      <c r="A44" s="5">
        <v>43499</v>
      </c>
      <c r="B44" s="11">
        <v>93817</v>
      </c>
      <c r="C44" s="11">
        <v>743</v>
      </c>
      <c r="D44" s="11">
        <v>94560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">
      <c r="A45" s="5"/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3" t="s">
        <v>30</v>
      </c>
      <c r="B47" s="6"/>
      <c r="C47" s="6"/>
      <c r="D47" s="3"/>
      <c r="F47" s="23" t="s">
        <v>30</v>
      </c>
      <c r="G47" s="6"/>
      <c r="H47" s="6"/>
      <c r="I47" s="3"/>
      <c r="K47" s="23" t="s">
        <v>31</v>
      </c>
      <c r="L47" s="23"/>
      <c r="M47" s="6"/>
      <c r="N47" s="6"/>
      <c r="O47" s="3"/>
      <c r="P47" s="6"/>
      <c r="Q47" s="6"/>
      <c r="R47" s="3"/>
    </row>
    <row r="48" spans="1:18" ht="26.45" customHeight="1" x14ac:dyDescent="0.2">
      <c r="A48" s="24"/>
      <c r="B48" s="7" t="s">
        <v>38</v>
      </c>
      <c r="C48" s="4" t="s">
        <v>2</v>
      </c>
      <c r="D48" s="4" t="s">
        <v>0</v>
      </c>
      <c r="F48" s="24"/>
      <c r="G48" s="7" t="s">
        <v>38</v>
      </c>
      <c r="H48" s="4" t="s">
        <v>2</v>
      </c>
      <c r="I48" s="4" t="s">
        <v>0</v>
      </c>
      <c r="K48" s="24"/>
      <c r="L48" s="24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2">
      <c r="A49" s="5">
        <v>43466</v>
      </c>
      <c r="B49" s="11">
        <v>36874</v>
      </c>
      <c r="C49" s="11">
        <v>268</v>
      </c>
      <c r="D49" s="11">
        <v>37142</v>
      </c>
      <c r="F49" s="5">
        <v>44197</v>
      </c>
      <c r="G49" s="11">
        <v>27171</v>
      </c>
      <c r="H49" s="11">
        <v>199</v>
      </c>
      <c r="I49" s="11">
        <v>27370</v>
      </c>
      <c r="K49" s="5">
        <v>43469</v>
      </c>
      <c r="L49" s="5">
        <v>44197</v>
      </c>
      <c r="M49" s="11">
        <v>-27266</v>
      </c>
      <c r="N49" s="11">
        <v>-3617</v>
      </c>
      <c r="O49" s="11">
        <v>-30883</v>
      </c>
      <c r="P49" s="8">
        <v>-0.50087256828994986</v>
      </c>
      <c r="Q49" s="8">
        <v>-0.94785115303983225</v>
      </c>
      <c r="R49" s="12">
        <v>-0.53015295349595726</v>
      </c>
    </row>
    <row r="50" spans="1:18" x14ac:dyDescent="0.2">
      <c r="A50" s="5">
        <v>43467</v>
      </c>
      <c r="B50" s="11">
        <v>48824</v>
      </c>
      <c r="C50" s="11">
        <v>1312</v>
      </c>
      <c r="D50" s="11">
        <v>50136</v>
      </c>
      <c r="F50" s="5">
        <v>44198</v>
      </c>
      <c r="G50" s="11">
        <v>40218</v>
      </c>
      <c r="H50" s="11">
        <v>641</v>
      </c>
      <c r="I50" s="11">
        <v>40859</v>
      </c>
      <c r="K50" s="5">
        <v>43470</v>
      </c>
      <c r="L50" s="5">
        <v>44198</v>
      </c>
      <c r="M50" s="11">
        <v>-9322</v>
      </c>
      <c r="N50" s="11">
        <v>-428</v>
      </c>
      <c r="O50" s="11">
        <v>-9750</v>
      </c>
      <c r="P50" s="8">
        <v>-0.18817117480823575</v>
      </c>
      <c r="Q50" s="8">
        <v>-0.40037418147801684</v>
      </c>
      <c r="R50" s="12">
        <v>-0.19265348060621623</v>
      </c>
    </row>
    <row r="51" spans="1:18" x14ac:dyDescent="0.2">
      <c r="A51" s="5">
        <v>43468</v>
      </c>
      <c r="B51" s="11">
        <v>51449</v>
      </c>
      <c r="C51" s="11">
        <v>3753</v>
      </c>
      <c r="D51" s="11">
        <v>55202</v>
      </c>
      <c r="F51" s="5">
        <v>44199</v>
      </c>
      <c r="G51" s="11">
        <v>32883</v>
      </c>
      <c r="H51" s="11">
        <v>257</v>
      </c>
      <c r="I51" s="11">
        <v>33140</v>
      </c>
      <c r="K51" s="5">
        <v>43471</v>
      </c>
      <c r="L51" s="5">
        <v>44199</v>
      </c>
      <c r="M51" s="11">
        <v>-8564</v>
      </c>
      <c r="N51" s="11">
        <v>-88</v>
      </c>
      <c r="O51" s="11">
        <v>-8652</v>
      </c>
      <c r="P51" s="8">
        <v>-0.20662532873308082</v>
      </c>
      <c r="Q51" s="8">
        <v>-0.25507246376811599</v>
      </c>
      <c r="R51" s="12">
        <v>-0.20702526799387444</v>
      </c>
    </row>
    <row r="52" spans="1:18" x14ac:dyDescent="0.2">
      <c r="A52" s="5">
        <v>43469</v>
      </c>
      <c r="B52" s="11">
        <v>54437</v>
      </c>
      <c r="C52" s="11">
        <v>3816</v>
      </c>
      <c r="D52" s="11">
        <v>58253</v>
      </c>
      <c r="F52" s="5">
        <v>44200</v>
      </c>
      <c r="G52" s="11">
        <v>41741</v>
      </c>
      <c r="H52" s="11">
        <v>3742</v>
      </c>
      <c r="I52" s="11">
        <v>45483</v>
      </c>
      <c r="K52" s="5">
        <v>43472</v>
      </c>
      <c r="L52" s="5">
        <v>44200</v>
      </c>
      <c r="M52" s="11">
        <v>-8839</v>
      </c>
      <c r="N52" s="11">
        <v>-842</v>
      </c>
      <c r="O52" s="11">
        <v>-9681</v>
      </c>
      <c r="P52" s="8">
        <v>-0.1747528667457493</v>
      </c>
      <c r="Q52" s="8">
        <v>-0.18368237347294936</v>
      </c>
      <c r="R52" s="12">
        <v>-0.17549488797041546</v>
      </c>
    </row>
    <row r="53" spans="1:18" x14ac:dyDescent="0.2">
      <c r="A53" s="5">
        <v>43470</v>
      </c>
      <c r="B53" s="11">
        <v>49540</v>
      </c>
      <c r="C53" s="11">
        <v>1069</v>
      </c>
      <c r="D53" s="11">
        <v>50609</v>
      </c>
      <c r="F53" s="5">
        <v>44201</v>
      </c>
      <c r="G53" s="11">
        <v>43458</v>
      </c>
      <c r="H53" s="11">
        <v>4385</v>
      </c>
      <c r="I53" s="11">
        <v>47843</v>
      </c>
      <c r="K53" s="5">
        <v>43473</v>
      </c>
      <c r="L53" s="5">
        <v>44201</v>
      </c>
      <c r="M53" s="11">
        <v>-8705</v>
      </c>
      <c r="N53" s="11">
        <v>-708</v>
      </c>
      <c r="O53" s="11">
        <v>-9413</v>
      </c>
      <c r="P53" s="8">
        <v>-0.1668807392212871</v>
      </c>
      <c r="Q53" s="8">
        <v>-0.13901433339878266</v>
      </c>
      <c r="R53" s="12">
        <v>-0.16440198407153839</v>
      </c>
    </row>
    <row r="54" spans="1:18" x14ac:dyDescent="0.2">
      <c r="A54" s="5">
        <v>43471</v>
      </c>
      <c r="B54" s="11">
        <v>41447</v>
      </c>
      <c r="C54" s="11">
        <v>345</v>
      </c>
      <c r="D54" s="11">
        <v>41792</v>
      </c>
      <c r="F54" s="5">
        <v>44202</v>
      </c>
      <c r="G54" s="11">
        <v>43769</v>
      </c>
      <c r="H54" s="11">
        <v>4294</v>
      </c>
      <c r="I54" s="11">
        <v>48063</v>
      </c>
      <c r="K54" s="5">
        <v>43474</v>
      </c>
      <c r="L54" s="5">
        <v>44202</v>
      </c>
      <c r="M54" s="11">
        <v>-9866</v>
      </c>
      <c r="N54" s="11">
        <v>-1031</v>
      </c>
      <c r="O54" s="11">
        <v>-10897</v>
      </c>
      <c r="P54" s="8">
        <v>-0.18394704950125851</v>
      </c>
      <c r="Q54" s="8">
        <v>-0.19361502347417836</v>
      </c>
      <c r="R54" s="12">
        <v>-0.18482021709633645</v>
      </c>
    </row>
    <row r="55" spans="1:18" x14ac:dyDescent="0.2">
      <c r="A55" s="5">
        <v>43472</v>
      </c>
      <c r="B55" s="11">
        <v>50580</v>
      </c>
      <c r="C55" s="11">
        <v>4584</v>
      </c>
      <c r="D55" s="11">
        <v>55164</v>
      </c>
      <c r="F55" s="5">
        <v>44203</v>
      </c>
      <c r="G55" s="11">
        <v>45992</v>
      </c>
      <c r="H55" s="11">
        <v>4532</v>
      </c>
      <c r="I55" s="11">
        <v>50524</v>
      </c>
      <c r="K55" s="5">
        <v>43475</v>
      </c>
      <c r="L55" s="5">
        <v>44203</v>
      </c>
      <c r="M55" s="11">
        <v>-6418</v>
      </c>
      <c r="N55" s="11">
        <v>-772</v>
      </c>
      <c r="O55" s="11">
        <v>-7190</v>
      </c>
      <c r="P55" s="8">
        <v>-0.12245754626979588</v>
      </c>
      <c r="Q55" s="8">
        <v>-0.14555052790346912</v>
      </c>
      <c r="R55" s="12">
        <v>-0.12457982465259732</v>
      </c>
    </row>
    <row r="56" spans="1:18" x14ac:dyDescent="0.2">
      <c r="A56" s="5">
        <v>43473</v>
      </c>
      <c r="B56" s="11">
        <v>52163</v>
      </c>
      <c r="C56" s="11">
        <v>5093</v>
      </c>
      <c r="D56" s="11">
        <v>57256</v>
      </c>
      <c r="F56" s="5">
        <v>44204</v>
      </c>
      <c r="G56" s="11">
        <v>49958</v>
      </c>
      <c r="H56" s="11">
        <v>4526</v>
      </c>
      <c r="I56" s="11">
        <v>54484</v>
      </c>
      <c r="K56" s="5">
        <v>43476</v>
      </c>
      <c r="L56" s="5">
        <v>44204</v>
      </c>
      <c r="M56" s="11">
        <v>-9529</v>
      </c>
      <c r="N56" s="11">
        <v>-529</v>
      </c>
      <c r="O56" s="11">
        <v>-10058</v>
      </c>
      <c r="P56" s="8">
        <v>-0.16018625918267859</v>
      </c>
      <c r="Q56" s="8">
        <v>-0.10464886251236405</v>
      </c>
      <c r="R56" s="12">
        <v>-0.15583650955966655</v>
      </c>
    </row>
    <row r="57" spans="1:18" x14ac:dyDescent="0.2">
      <c r="A57" s="5">
        <v>43474</v>
      </c>
      <c r="B57" s="11">
        <v>53635</v>
      </c>
      <c r="C57" s="11">
        <v>5325</v>
      </c>
      <c r="D57" s="11">
        <v>58960</v>
      </c>
      <c r="F57" s="5">
        <v>44205</v>
      </c>
      <c r="G57" s="11">
        <v>44685</v>
      </c>
      <c r="H57" s="11">
        <v>971</v>
      </c>
      <c r="I57" s="11">
        <v>45656</v>
      </c>
      <c r="K57" s="5">
        <v>43477</v>
      </c>
      <c r="L57" s="5">
        <v>44205</v>
      </c>
      <c r="M57" s="11">
        <v>-12806</v>
      </c>
      <c r="N57" s="11">
        <v>-206</v>
      </c>
      <c r="O57" s="11">
        <v>-13012</v>
      </c>
      <c r="P57" s="8">
        <v>-0.2227479083682663</v>
      </c>
      <c r="Q57" s="8">
        <v>-0.17502124044180123</v>
      </c>
      <c r="R57" s="12">
        <v>-0.22179041385423059</v>
      </c>
    </row>
    <row r="58" spans="1:18" x14ac:dyDescent="0.2">
      <c r="A58" s="5">
        <v>43475</v>
      </c>
      <c r="B58" s="11">
        <v>52410</v>
      </c>
      <c r="C58" s="11">
        <v>5304</v>
      </c>
      <c r="D58" s="11">
        <v>57714</v>
      </c>
      <c r="F58" s="5">
        <v>44206</v>
      </c>
      <c r="G58" s="11">
        <v>34092</v>
      </c>
      <c r="H58" s="11">
        <v>261</v>
      </c>
      <c r="I58" s="11">
        <v>34353</v>
      </c>
      <c r="K58" s="5">
        <v>43478</v>
      </c>
      <c r="L58" s="5">
        <v>44206</v>
      </c>
      <c r="M58" s="11">
        <v>-10037</v>
      </c>
      <c r="N58" s="11">
        <v>-131</v>
      </c>
      <c r="O58" s="11">
        <v>-10168</v>
      </c>
      <c r="P58" s="8">
        <v>-0.22744680368918402</v>
      </c>
      <c r="Q58" s="8">
        <v>-0.33418367346938771</v>
      </c>
      <c r="R58" s="12">
        <v>-0.22838660407448175</v>
      </c>
    </row>
    <row r="59" spans="1:18" x14ac:dyDescent="0.2">
      <c r="A59" s="5">
        <v>43476</v>
      </c>
      <c r="B59" s="11">
        <v>59487</v>
      </c>
      <c r="C59" s="11">
        <v>5055</v>
      </c>
      <c r="D59" s="11">
        <v>64542</v>
      </c>
      <c r="F59" s="5">
        <v>44207</v>
      </c>
      <c r="G59" s="11">
        <v>46872</v>
      </c>
      <c r="H59" s="11">
        <v>4986</v>
      </c>
      <c r="I59" s="11">
        <v>51858</v>
      </c>
      <c r="K59" s="5">
        <v>43479</v>
      </c>
      <c r="L59" s="5">
        <v>44207</v>
      </c>
      <c r="M59" s="11">
        <v>-7289</v>
      </c>
      <c r="N59" s="11">
        <v>-219</v>
      </c>
      <c r="O59" s="11">
        <v>-7508</v>
      </c>
      <c r="P59" s="8">
        <v>-0.13458023300899169</v>
      </c>
      <c r="Q59" s="8">
        <v>-4.2074927953890451E-2</v>
      </c>
      <c r="R59" s="12">
        <v>-0.12646969645925277</v>
      </c>
    </row>
    <row r="60" spans="1:18" x14ac:dyDescent="0.2">
      <c r="A60" s="5">
        <v>43477</v>
      </c>
      <c r="B60" s="11">
        <v>57491</v>
      </c>
      <c r="C60" s="11">
        <v>1177</v>
      </c>
      <c r="D60" s="11">
        <v>58668</v>
      </c>
      <c r="F60" s="5">
        <v>44208</v>
      </c>
      <c r="G60" s="11">
        <v>43753</v>
      </c>
      <c r="H60" s="11">
        <v>5408</v>
      </c>
      <c r="I60" s="11">
        <v>49161</v>
      </c>
      <c r="K60" s="5">
        <v>43480</v>
      </c>
      <c r="L60" s="5">
        <v>44208</v>
      </c>
      <c r="M60" s="11">
        <v>-12850</v>
      </c>
      <c r="N60" s="11">
        <v>-276</v>
      </c>
      <c r="O60" s="11">
        <v>-13126</v>
      </c>
      <c r="P60" s="8">
        <v>-0.22701976927017997</v>
      </c>
      <c r="Q60" s="8">
        <v>-4.8557353976073192E-2</v>
      </c>
      <c r="R60" s="12">
        <v>-0.21073418209257144</v>
      </c>
    </row>
    <row r="61" spans="1:18" x14ac:dyDescent="0.2">
      <c r="A61" s="5">
        <v>43478</v>
      </c>
      <c r="B61" s="11">
        <v>44129</v>
      </c>
      <c r="C61" s="11">
        <v>392</v>
      </c>
      <c r="D61" s="11">
        <v>44521</v>
      </c>
      <c r="F61" s="5">
        <v>44209</v>
      </c>
      <c r="G61" s="11">
        <v>46862</v>
      </c>
      <c r="H61" s="11">
        <v>5542</v>
      </c>
      <c r="I61" s="11">
        <v>52404</v>
      </c>
      <c r="K61" s="5">
        <v>43481</v>
      </c>
      <c r="L61" s="5">
        <v>44209</v>
      </c>
      <c r="M61" s="11">
        <v>-11674</v>
      </c>
      <c r="N61" s="11">
        <v>-96</v>
      </c>
      <c r="O61" s="11">
        <v>-11770</v>
      </c>
      <c r="P61" s="8">
        <v>-0.19943282766160997</v>
      </c>
      <c r="Q61" s="8">
        <v>-1.7027314650585268E-2</v>
      </c>
      <c r="R61" s="12">
        <v>-0.18340761055879329</v>
      </c>
    </row>
    <row r="62" spans="1:18" x14ac:dyDescent="0.2">
      <c r="A62" s="5">
        <v>43479</v>
      </c>
      <c r="B62" s="11">
        <v>54161</v>
      </c>
      <c r="C62" s="11">
        <v>5205</v>
      </c>
      <c r="D62" s="11">
        <v>59366</v>
      </c>
      <c r="F62" s="5">
        <v>44210</v>
      </c>
      <c r="G62" s="11">
        <v>40771</v>
      </c>
      <c r="H62" s="11">
        <v>5101</v>
      </c>
      <c r="I62" s="11">
        <v>45872</v>
      </c>
      <c r="K62" s="5">
        <v>43482</v>
      </c>
      <c r="L62" s="5">
        <v>44210</v>
      </c>
      <c r="M62" s="11">
        <v>-17603</v>
      </c>
      <c r="N62" s="11">
        <v>-629</v>
      </c>
      <c r="O62" s="11">
        <v>-18232</v>
      </c>
      <c r="P62" s="8">
        <v>-0.30155548703189772</v>
      </c>
      <c r="Q62" s="8">
        <v>-0.10977312390924954</v>
      </c>
      <c r="R62" s="12">
        <v>-0.284412829152627</v>
      </c>
    </row>
    <row r="63" spans="1:18" x14ac:dyDescent="0.2">
      <c r="A63" s="5">
        <v>43480</v>
      </c>
      <c r="B63" s="11">
        <v>56603</v>
      </c>
      <c r="C63" s="11">
        <v>5684</v>
      </c>
      <c r="D63" s="11">
        <v>62287</v>
      </c>
      <c r="F63" s="5">
        <v>44211</v>
      </c>
      <c r="G63" s="11">
        <v>37713</v>
      </c>
      <c r="H63" s="11">
        <v>4513</v>
      </c>
      <c r="I63" s="11">
        <v>42226</v>
      </c>
      <c r="K63" s="5">
        <v>43483</v>
      </c>
      <c r="L63" s="5">
        <v>44211</v>
      </c>
      <c r="M63" s="11">
        <v>-25747</v>
      </c>
      <c r="N63" s="11">
        <v>-786</v>
      </c>
      <c r="O63" s="11">
        <v>-26533</v>
      </c>
      <c r="P63" s="8">
        <v>-0.40572013867002832</v>
      </c>
      <c r="Q63" s="8">
        <v>-0.14832987356104921</v>
      </c>
      <c r="R63" s="12">
        <v>-0.38588402972701752</v>
      </c>
    </row>
    <row r="64" spans="1:18" x14ac:dyDescent="0.2">
      <c r="A64" s="5">
        <v>43481</v>
      </c>
      <c r="B64" s="11">
        <v>58536</v>
      </c>
      <c r="C64" s="11">
        <v>5638</v>
      </c>
      <c r="D64" s="11">
        <v>64174</v>
      </c>
      <c r="F64" s="5">
        <v>44212</v>
      </c>
      <c r="G64" s="11">
        <v>41177</v>
      </c>
      <c r="H64" s="11">
        <v>1297</v>
      </c>
      <c r="I64" s="11">
        <v>42474</v>
      </c>
      <c r="K64" s="5">
        <v>43484</v>
      </c>
      <c r="L64" s="5">
        <v>44212</v>
      </c>
      <c r="M64" s="11">
        <v>-21749</v>
      </c>
      <c r="N64" s="11">
        <v>126</v>
      </c>
      <c r="O64" s="11">
        <v>-21623</v>
      </c>
      <c r="P64" s="8">
        <v>-0.34562819820106161</v>
      </c>
      <c r="Q64" s="8">
        <v>0.10760034158838594</v>
      </c>
      <c r="R64" s="12">
        <v>-0.3373480818135014</v>
      </c>
    </row>
    <row r="65" spans="1:18" x14ac:dyDescent="0.2">
      <c r="A65" s="5">
        <v>43482</v>
      </c>
      <c r="B65" s="11">
        <v>58374</v>
      </c>
      <c r="C65" s="11">
        <v>5730</v>
      </c>
      <c r="D65" s="11">
        <v>64104</v>
      </c>
      <c r="F65" s="5">
        <v>44213</v>
      </c>
      <c r="G65" s="11">
        <v>25560</v>
      </c>
      <c r="H65" s="11">
        <v>270</v>
      </c>
      <c r="I65" s="11">
        <v>25830</v>
      </c>
      <c r="K65" s="5">
        <v>43485</v>
      </c>
      <c r="L65" s="5">
        <v>44213</v>
      </c>
      <c r="M65" s="11">
        <v>-22093</v>
      </c>
      <c r="N65" s="11">
        <v>-81</v>
      </c>
      <c r="O65" s="11">
        <v>-22174</v>
      </c>
      <c r="P65" s="8">
        <v>-0.46362243720227481</v>
      </c>
      <c r="Q65" s="8">
        <v>-0.23076923076923073</v>
      </c>
      <c r="R65" s="12">
        <v>-0.46191984001333219</v>
      </c>
    </row>
    <row r="66" spans="1:18" x14ac:dyDescent="0.2">
      <c r="A66" s="5">
        <v>43483</v>
      </c>
      <c r="B66" s="11">
        <v>63460</v>
      </c>
      <c r="C66" s="11">
        <v>5299</v>
      </c>
      <c r="D66" s="11">
        <v>68759</v>
      </c>
      <c r="F66" s="5">
        <v>44214</v>
      </c>
      <c r="G66" s="11">
        <v>41658</v>
      </c>
      <c r="H66" s="11">
        <v>5261</v>
      </c>
      <c r="I66" s="11">
        <v>46919</v>
      </c>
      <c r="K66" s="5">
        <v>43486</v>
      </c>
      <c r="L66" s="5">
        <v>44214</v>
      </c>
      <c r="M66" s="11">
        <v>-13611</v>
      </c>
      <c r="N66" s="11">
        <v>42</v>
      </c>
      <c r="O66" s="11">
        <v>-13569</v>
      </c>
      <c r="P66" s="8">
        <v>-0.2462682516419693</v>
      </c>
      <c r="Q66" s="8">
        <v>8.047518681739696E-3</v>
      </c>
      <c r="R66" s="12">
        <v>-0.22432548604681923</v>
      </c>
    </row>
    <row r="67" spans="1:18" x14ac:dyDescent="0.2">
      <c r="A67" s="5">
        <v>43484</v>
      </c>
      <c r="B67" s="11">
        <v>62926</v>
      </c>
      <c r="C67" s="11">
        <v>1171</v>
      </c>
      <c r="D67" s="11">
        <v>64097</v>
      </c>
      <c r="F67" s="5">
        <v>44215</v>
      </c>
      <c r="G67" s="11">
        <v>43946</v>
      </c>
      <c r="H67" s="11">
        <v>5748</v>
      </c>
      <c r="I67" s="11">
        <v>49694</v>
      </c>
      <c r="K67" s="5">
        <v>43487</v>
      </c>
      <c r="L67" s="5">
        <v>44215</v>
      </c>
      <c r="M67" s="11">
        <v>-13126</v>
      </c>
      <c r="N67" s="11">
        <v>122</v>
      </c>
      <c r="O67" s="11">
        <v>-13004</v>
      </c>
      <c r="P67" s="8">
        <v>-0.22999018783291281</v>
      </c>
      <c r="Q67" s="8">
        <v>2.1685033771773998E-2</v>
      </c>
      <c r="R67" s="12">
        <v>-0.20740693483045713</v>
      </c>
    </row>
    <row r="68" spans="1:18" x14ac:dyDescent="0.2">
      <c r="A68" s="5">
        <v>43485</v>
      </c>
      <c r="B68" s="11">
        <v>47653</v>
      </c>
      <c r="C68" s="11">
        <v>351</v>
      </c>
      <c r="D68" s="11">
        <v>48004</v>
      </c>
      <c r="F68" s="5">
        <v>44216</v>
      </c>
      <c r="G68" s="11">
        <v>45490</v>
      </c>
      <c r="H68" s="11">
        <v>5829</v>
      </c>
      <c r="I68" s="11">
        <v>51319</v>
      </c>
      <c r="K68" s="5">
        <v>43488</v>
      </c>
      <c r="L68" s="5">
        <v>44216</v>
      </c>
      <c r="M68" s="11">
        <v>-12911</v>
      </c>
      <c r="N68" s="11">
        <v>208</v>
      </c>
      <c r="O68" s="11">
        <v>-12703</v>
      </c>
      <c r="P68" s="8">
        <v>-0.22107498159278094</v>
      </c>
      <c r="Q68" s="8">
        <v>3.7004091798612304E-2</v>
      </c>
      <c r="R68" s="12">
        <v>-0.19841616944175444</v>
      </c>
    </row>
    <row r="69" spans="1:18" x14ac:dyDescent="0.2">
      <c r="A69" s="5">
        <v>43486</v>
      </c>
      <c r="B69" s="11">
        <v>55269</v>
      </c>
      <c r="C69" s="11">
        <v>5219</v>
      </c>
      <c r="D69" s="11">
        <v>60488</v>
      </c>
      <c r="F69" s="5">
        <v>44217</v>
      </c>
      <c r="G69" s="11">
        <v>46514</v>
      </c>
      <c r="H69" s="11">
        <v>5864</v>
      </c>
      <c r="I69" s="11">
        <v>52378</v>
      </c>
      <c r="K69" s="5">
        <v>43489</v>
      </c>
      <c r="L69" s="5">
        <v>44217</v>
      </c>
      <c r="M69" s="11">
        <v>-13077</v>
      </c>
      <c r="N69" s="11">
        <v>241</v>
      </c>
      <c r="O69" s="11">
        <v>-12836</v>
      </c>
      <c r="P69" s="8">
        <v>-0.21944588947995503</v>
      </c>
      <c r="Q69" s="8">
        <v>4.285968344300195E-2</v>
      </c>
      <c r="R69" s="12">
        <v>-0.1968289017695587</v>
      </c>
    </row>
    <row r="70" spans="1:18" x14ac:dyDescent="0.2">
      <c r="A70" s="5">
        <v>43487</v>
      </c>
      <c r="B70" s="11">
        <v>57072</v>
      </c>
      <c r="C70" s="11">
        <v>5626</v>
      </c>
      <c r="D70" s="11">
        <v>62698</v>
      </c>
      <c r="F70" s="5">
        <v>44218</v>
      </c>
      <c r="G70" s="11">
        <v>50908</v>
      </c>
      <c r="H70" s="11">
        <v>5373</v>
      </c>
      <c r="I70" s="11">
        <v>56281</v>
      </c>
      <c r="K70" s="5">
        <v>43490</v>
      </c>
      <c r="L70" s="5">
        <v>44218</v>
      </c>
      <c r="M70" s="11">
        <v>-14316</v>
      </c>
      <c r="N70" s="11">
        <v>56</v>
      </c>
      <c r="O70" s="11">
        <v>-14260</v>
      </c>
      <c r="P70" s="8">
        <v>-0.2194897583711517</v>
      </c>
      <c r="Q70" s="8">
        <v>1.05322550310325E-2</v>
      </c>
      <c r="R70" s="12">
        <v>-0.20215194000652104</v>
      </c>
    </row>
    <row r="71" spans="1:18" x14ac:dyDescent="0.2">
      <c r="A71" s="5">
        <v>43488</v>
      </c>
      <c r="B71" s="11">
        <v>58401</v>
      </c>
      <c r="C71" s="11">
        <v>5621</v>
      </c>
      <c r="D71" s="11">
        <v>64022</v>
      </c>
      <c r="F71" s="5">
        <v>44219</v>
      </c>
      <c r="G71" s="11">
        <v>42857</v>
      </c>
      <c r="H71" s="11">
        <v>1136</v>
      </c>
      <c r="I71" s="11">
        <v>43993</v>
      </c>
      <c r="K71" s="5">
        <v>43491</v>
      </c>
      <c r="L71" s="5">
        <v>44219</v>
      </c>
      <c r="M71" s="11">
        <v>-22322</v>
      </c>
      <c r="N71" s="11">
        <v>-30</v>
      </c>
      <c r="O71" s="11">
        <v>-22352</v>
      </c>
      <c r="P71" s="8">
        <v>-0.34247226867549363</v>
      </c>
      <c r="Q71" s="8">
        <v>-2.5728987993138941E-2</v>
      </c>
      <c r="R71" s="12">
        <v>-0.33690556937222094</v>
      </c>
    </row>
    <row r="72" spans="1:18" x14ac:dyDescent="0.2">
      <c r="A72" s="5">
        <v>43489</v>
      </c>
      <c r="B72" s="11">
        <v>59591</v>
      </c>
      <c r="C72" s="11">
        <v>5623</v>
      </c>
      <c r="D72" s="11">
        <v>65214</v>
      </c>
      <c r="F72" s="5">
        <v>44220</v>
      </c>
      <c r="G72" s="11">
        <v>34433</v>
      </c>
      <c r="H72" s="11">
        <v>273</v>
      </c>
      <c r="I72" s="11">
        <v>34706</v>
      </c>
      <c r="K72" s="5">
        <v>43492</v>
      </c>
      <c r="L72" s="5">
        <v>44220</v>
      </c>
      <c r="M72" s="11">
        <v>-14959</v>
      </c>
      <c r="N72" s="11">
        <v>-127</v>
      </c>
      <c r="O72" s="11">
        <v>-15086</v>
      </c>
      <c r="P72" s="8">
        <v>-0.30286281179138319</v>
      </c>
      <c r="Q72" s="8">
        <v>-0.3175</v>
      </c>
      <c r="R72" s="12">
        <v>-0.30298039845758351</v>
      </c>
    </row>
    <row r="73" spans="1:18" x14ac:dyDescent="0.2">
      <c r="A73" s="5">
        <v>43490</v>
      </c>
      <c r="B73" s="11">
        <v>65224</v>
      </c>
      <c r="C73" s="11">
        <v>5317</v>
      </c>
      <c r="D73" s="11">
        <v>70541</v>
      </c>
      <c r="F73" s="5">
        <v>44221</v>
      </c>
      <c r="G73" s="11">
        <v>42102</v>
      </c>
      <c r="H73" s="11">
        <v>5454</v>
      </c>
      <c r="I73" s="11">
        <v>47556</v>
      </c>
      <c r="K73" s="5">
        <v>43493</v>
      </c>
      <c r="L73" s="5">
        <v>44221</v>
      </c>
      <c r="M73" s="11">
        <f t="shared" ref="M73:M75" si="4">G73-B76</f>
        <v>-12967</v>
      </c>
      <c r="N73" s="11">
        <f t="shared" ref="N73:N75" si="5">H73-C76</f>
        <v>76</v>
      </c>
      <c r="O73" s="11">
        <f t="shared" ref="O73:O75" si="6">I73-D76</f>
        <v>-12891</v>
      </c>
      <c r="P73" s="8">
        <f t="shared" ref="P73:P75" si="7">G73/B76-1</f>
        <v>-0.2354682307650402</v>
      </c>
      <c r="Q73" s="8">
        <f t="shared" ref="Q73:Q75" si="8">H73/C76-1</f>
        <v>1.413164745258455E-2</v>
      </c>
      <c r="R73" s="12">
        <f t="shared" ref="R73:R75" si="9">I73/D76-1</f>
        <v>-0.21326120402997673</v>
      </c>
    </row>
    <row r="74" spans="1:18" x14ac:dyDescent="0.2">
      <c r="A74" s="5">
        <v>43491</v>
      </c>
      <c r="B74" s="11">
        <v>65179</v>
      </c>
      <c r="C74" s="11">
        <v>1166</v>
      </c>
      <c r="D74" s="11">
        <v>66345</v>
      </c>
      <c r="F74" s="5">
        <v>44222</v>
      </c>
      <c r="G74" s="11">
        <v>45029</v>
      </c>
      <c r="H74" s="11">
        <v>5711</v>
      </c>
      <c r="I74" s="11">
        <v>50740</v>
      </c>
      <c r="K74" s="5">
        <v>43494</v>
      </c>
      <c r="L74" s="5">
        <v>44222</v>
      </c>
      <c r="M74" s="11">
        <f t="shared" si="4"/>
        <v>-12056</v>
      </c>
      <c r="N74" s="11">
        <f t="shared" si="5"/>
        <v>-22</v>
      </c>
      <c r="O74" s="11">
        <f t="shared" si="6"/>
        <v>-12078</v>
      </c>
      <c r="P74" s="8">
        <f t="shared" si="7"/>
        <v>-0.21119383375667866</v>
      </c>
      <c r="Q74" s="8">
        <f t="shared" si="8"/>
        <v>-3.8374324088610301E-3</v>
      </c>
      <c r="R74" s="12">
        <f t="shared" si="9"/>
        <v>-0.1922697316055908</v>
      </c>
    </row>
    <row r="75" spans="1:18" x14ac:dyDescent="0.2">
      <c r="A75" s="5">
        <v>43492</v>
      </c>
      <c r="B75" s="11">
        <v>49392</v>
      </c>
      <c r="C75" s="11">
        <v>400</v>
      </c>
      <c r="D75" s="11">
        <v>49792</v>
      </c>
      <c r="F75" s="5">
        <v>44223</v>
      </c>
      <c r="G75" s="11">
        <v>43930</v>
      </c>
      <c r="H75" s="11">
        <v>5820</v>
      </c>
      <c r="I75" s="11">
        <v>49750</v>
      </c>
      <c r="K75" s="5">
        <v>43495</v>
      </c>
      <c r="L75" s="5">
        <v>44223</v>
      </c>
      <c r="M75" s="11">
        <f t="shared" si="4"/>
        <v>-14643</v>
      </c>
      <c r="N75" s="11">
        <f t="shared" si="5"/>
        <v>15</v>
      </c>
      <c r="O75" s="11">
        <f t="shared" si="6"/>
        <v>-14628</v>
      </c>
      <c r="P75" s="8">
        <f t="shared" si="7"/>
        <v>-0.24999573182182921</v>
      </c>
      <c r="Q75" s="8">
        <f t="shared" si="8"/>
        <v>2.5839793281654533E-3</v>
      </c>
      <c r="R75" s="12">
        <f t="shared" si="9"/>
        <v>-0.22722047904563669</v>
      </c>
    </row>
    <row r="76" spans="1:18" x14ac:dyDescent="0.2">
      <c r="A76" s="5">
        <v>43493</v>
      </c>
      <c r="B76" s="11">
        <v>55069</v>
      </c>
      <c r="C76" s="11">
        <v>5378</v>
      </c>
      <c r="D76" s="11">
        <v>60447</v>
      </c>
      <c r="F76" s="5">
        <v>44224</v>
      </c>
      <c r="G76" s="11">
        <v>46683</v>
      </c>
      <c r="H76" s="11">
        <v>5968</v>
      </c>
      <c r="I76" s="11">
        <v>52651</v>
      </c>
      <c r="K76" s="5">
        <v>43496</v>
      </c>
      <c r="L76" s="5">
        <v>44224</v>
      </c>
      <c r="M76" s="11">
        <f t="shared" ref="M76:M79" si="10">G76-B79</f>
        <v>-12539</v>
      </c>
      <c r="N76" s="11">
        <f t="shared" ref="N76:N79" si="11">H76-C79</f>
        <v>160</v>
      </c>
      <c r="O76" s="11">
        <f t="shared" ref="O76:O79" si="12">I76-D79</f>
        <v>-12379</v>
      </c>
      <c r="P76" s="8">
        <f t="shared" ref="P76:P79" si="13">G76/B79-1</f>
        <v>-0.21172874945121745</v>
      </c>
      <c r="Q76" s="8">
        <f t="shared" ref="Q76:Q79" si="14">H76/C79-1</f>
        <v>2.7548209366391241E-2</v>
      </c>
      <c r="R76" s="12">
        <f t="shared" ref="R76:R79" si="15">I76/D79-1</f>
        <v>-0.19035829617099798</v>
      </c>
    </row>
    <row r="77" spans="1:18" x14ac:dyDescent="0.2">
      <c r="A77" s="5">
        <v>43494</v>
      </c>
      <c r="B77" s="11">
        <v>57085</v>
      </c>
      <c r="C77" s="11">
        <v>5733</v>
      </c>
      <c r="D77" s="11">
        <v>62818</v>
      </c>
      <c r="F77" s="5">
        <v>44225</v>
      </c>
      <c r="G77" s="11">
        <v>51410</v>
      </c>
      <c r="H77" s="11">
        <v>5189</v>
      </c>
      <c r="I77" s="11">
        <v>56599</v>
      </c>
      <c r="K77" s="5">
        <v>43497</v>
      </c>
      <c r="L77" s="5">
        <v>44225</v>
      </c>
      <c r="M77" s="11">
        <f t="shared" si="10"/>
        <v>-13056</v>
      </c>
      <c r="N77" s="11">
        <f t="shared" si="11"/>
        <v>-46</v>
      </c>
      <c r="O77" s="11">
        <f t="shared" si="12"/>
        <v>-13102</v>
      </c>
      <c r="P77" s="8">
        <f t="shared" si="13"/>
        <v>-0.20252536220643436</v>
      </c>
      <c r="Q77" s="8">
        <f t="shared" si="14"/>
        <v>-8.787010506208226E-3</v>
      </c>
      <c r="R77" s="12">
        <f t="shared" si="15"/>
        <v>-0.18797434757033615</v>
      </c>
    </row>
    <row r="78" spans="1:18" x14ac:dyDescent="0.2">
      <c r="A78" s="5">
        <v>43495</v>
      </c>
      <c r="B78" s="11">
        <v>58573</v>
      </c>
      <c r="C78" s="11">
        <v>5805</v>
      </c>
      <c r="D78" s="11">
        <v>64378</v>
      </c>
      <c r="F78" s="5">
        <v>44226</v>
      </c>
      <c r="G78" s="11">
        <v>46208</v>
      </c>
      <c r="H78" s="11">
        <v>1010</v>
      </c>
      <c r="I78" s="11">
        <v>47218</v>
      </c>
      <c r="K78" s="5">
        <v>43498</v>
      </c>
      <c r="L78" s="5">
        <v>44226</v>
      </c>
      <c r="M78" s="11">
        <f t="shared" si="10"/>
        <v>-20265</v>
      </c>
      <c r="N78" s="11">
        <f t="shared" si="11"/>
        <v>-232</v>
      </c>
      <c r="O78" s="11">
        <f t="shared" si="12"/>
        <v>-20497</v>
      </c>
      <c r="P78" s="8">
        <f t="shared" si="13"/>
        <v>-0.30486062010139459</v>
      </c>
      <c r="Q78" s="8">
        <f t="shared" si="14"/>
        <v>-0.18679549114331728</v>
      </c>
      <c r="R78" s="12">
        <f t="shared" si="15"/>
        <v>-0.30269511924979697</v>
      </c>
    </row>
    <row r="79" spans="1:18" x14ac:dyDescent="0.2">
      <c r="A79" s="5">
        <v>43496</v>
      </c>
      <c r="B79" s="11">
        <v>59222</v>
      </c>
      <c r="C79" s="11">
        <v>5808</v>
      </c>
      <c r="D79" s="11">
        <v>65030</v>
      </c>
      <c r="F79" s="5">
        <v>44227</v>
      </c>
      <c r="G79" s="11">
        <v>34888</v>
      </c>
      <c r="H79" s="11">
        <v>273</v>
      </c>
      <c r="I79" s="11">
        <v>35161</v>
      </c>
      <c r="K79" s="5">
        <v>43499</v>
      </c>
      <c r="L79" s="5">
        <v>44227</v>
      </c>
      <c r="M79" s="11">
        <f t="shared" si="10"/>
        <v>-11241</v>
      </c>
      <c r="N79" s="11">
        <f t="shared" si="11"/>
        <v>-117</v>
      </c>
      <c r="O79" s="11">
        <f t="shared" si="12"/>
        <v>-11358</v>
      </c>
      <c r="P79" s="8">
        <f t="shared" si="13"/>
        <v>-0.24368618439593315</v>
      </c>
      <c r="Q79" s="8">
        <f t="shared" si="14"/>
        <v>-0.30000000000000004</v>
      </c>
      <c r="R79" s="12">
        <f t="shared" si="15"/>
        <v>-0.2441583009093059</v>
      </c>
    </row>
    <row r="80" spans="1:18" x14ac:dyDescent="0.2">
      <c r="A80" s="5">
        <v>43497</v>
      </c>
      <c r="B80" s="11">
        <v>64466</v>
      </c>
      <c r="C80" s="11">
        <v>5235</v>
      </c>
      <c r="D80" s="11">
        <v>69701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">
      <c r="A81" s="5">
        <v>43498</v>
      </c>
      <c r="B81" s="11">
        <v>66473</v>
      </c>
      <c r="C81" s="11">
        <v>1242</v>
      </c>
      <c r="D81" s="11">
        <v>67715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2">
      <c r="A82" s="5">
        <v>43499</v>
      </c>
      <c r="B82" s="11">
        <v>46129</v>
      </c>
      <c r="C82" s="11">
        <v>390</v>
      </c>
      <c r="D82" s="11">
        <v>46519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2">
      <c r="A83" s="5"/>
      <c r="B83" s="11"/>
      <c r="C83" s="11"/>
      <c r="D83" s="11"/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2">
      <c r="B84" s="2"/>
      <c r="C84" s="2"/>
      <c r="G84" s="2"/>
      <c r="H84" s="2"/>
    </row>
    <row r="85" spans="1:18" ht="12.95" customHeight="1" x14ac:dyDescent="0.2">
      <c r="A85" s="23" t="s">
        <v>32</v>
      </c>
      <c r="B85" s="6"/>
      <c r="C85" s="6"/>
      <c r="D85" s="3"/>
      <c r="F85" s="23" t="s">
        <v>32</v>
      </c>
      <c r="G85" s="6"/>
      <c r="H85" s="6"/>
      <c r="I85" s="3"/>
      <c r="K85" s="23" t="s">
        <v>33</v>
      </c>
      <c r="L85" s="23"/>
      <c r="M85" s="6"/>
      <c r="N85" s="6"/>
      <c r="O85" s="3"/>
      <c r="P85" s="6"/>
      <c r="Q85" s="6"/>
      <c r="R85" s="3"/>
    </row>
    <row r="86" spans="1:18" ht="26.45" customHeight="1" x14ac:dyDescent="0.2">
      <c r="A86" s="24"/>
      <c r="B86" s="7" t="s">
        <v>38</v>
      </c>
      <c r="C86" s="4" t="s">
        <v>2</v>
      </c>
      <c r="D86" s="4" t="s">
        <v>0</v>
      </c>
      <c r="F86" s="24"/>
      <c r="G86" s="7" t="s">
        <v>38</v>
      </c>
      <c r="H86" s="4" t="s">
        <v>2</v>
      </c>
      <c r="I86" s="4" t="s">
        <v>0</v>
      </c>
      <c r="K86" s="24"/>
      <c r="L86" s="24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2">
      <c r="A87" s="5">
        <v>43466</v>
      </c>
      <c r="B87" s="11">
        <v>41980</v>
      </c>
      <c r="C87" s="11">
        <v>217</v>
      </c>
      <c r="D87" s="11">
        <v>42197</v>
      </c>
      <c r="F87" s="5">
        <v>44197</v>
      </c>
      <c r="G87" s="11">
        <v>28264</v>
      </c>
      <c r="H87" s="11">
        <v>170</v>
      </c>
      <c r="I87" s="11">
        <v>28434</v>
      </c>
      <c r="K87" s="5">
        <v>43469</v>
      </c>
      <c r="L87" s="5">
        <v>44197</v>
      </c>
      <c r="M87" s="11">
        <v>-28212</v>
      </c>
      <c r="N87" s="11">
        <v>-3502</v>
      </c>
      <c r="O87" s="11">
        <v>-31714</v>
      </c>
      <c r="P87" s="8">
        <v>-0.49953962745236913</v>
      </c>
      <c r="Q87" s="8">
        <v>-0.95370370370370372</v>
      </c>
      <c r="R87" s="12">
        <v>-0.52726607701004191</v>
      </c>
    </row>
    <row r="88" spans="1:18" x14ac:dyDescent="0.2">
      <c r="A88" s="5">
        <v>43467</v>
      </c>
      <c r="B88" s="11">
        <v>51155</v>
      </c>
      <c r="C88" s="11">
        <v>1300</v>
      </c>
      <c r="D88" s="11">
        <v>52455</v>
      </c>
      <c r="F88" s="5">
        <v>44198</v>
      </c>
      <c r="G88" s="11">
        <v>41249</v>
      </c>
      <c r="H88" s="11">
        <v>676</v>
      </c>
      <c r="I88" s="11">
        <v>41925</v>
      </c>
      <c r="K88" s="5">
        <v>43470</v>
      </c>
      <c r="L88" s="5">
        <v>44198</v>
      </c>
      <c r="M88" s="11">
        <v>-10283</v>
      </c>
      <c r="N88" s="11">
        <v>-342</v>
      </c>
      <c r="O88" s="11">
        <v>-10625</v>
      </c>
      <c r="P88" s="8">
        <v>-0.19954591321897075</v>
      </c>
      <c r="Q88" s="8">
        <v>-0.33595284872298625</v>
      </c>
      <c r="R88" s="12">
        <v>-0.20218839200761185</v>
      </c>
    </row>
    <row r="89" spans="1:18" x14ac:dyDescent="0.2">
      <c r="A89" s="5">
        <v>43468</v>
      </c>
      <c r="B89" s="11">
        <v>52142</v>
      </c>
      <c r="C89" s="11">
        <v>3775</v>
      </c>
      <c r="D89" s="11">
        <v>55917</v>
      </c>
      <c r="F89" s="5">
        <v>44199</v>
      </c>
      <c r="G89" s="11">
        <v>34453</v>
      </c>
      <c r="H89" s="11">
        <v>246</v>
      </c>
      <c r="I89" s="11">
        <v>34699</v>
      </c>
      <c r="K89" s="5">
        <v>43471</v>
      </c>
      <c r="L89" s="5">
        <v>44199</v>
      </c>
      <c r="M89" s="11">
        <v>-11078</v>
      </c>
      <c r="N89" s="11">
        <v>-48</v>
      </c>
      <c r="O89" s="11">
        <v>-11126</v>
      </c>
      <c r="P89" s="8">
        <v>-0.24330675803298851</v>
      </c>
      <c r="Q89" s="8">
        <v>-0.16326530612244894</v>
      </c>
      <c r="R89" s="12">
        <v>-0.24279323513366069</v>
      </c>
    </row>
    <row r="90" spans="1:18" x14ac:dyDescent="0.2">
      <c r="A90" s="5">
        <v>43469</v>
      </c>
      <c r="B90" s="11">
        <v>56476</v>
      </c>
      <c r="C90" s="11">
        <v>3672</v>
      </c>
      <c r="D90" s="11">
        <v>60148</v>
      </c>
      <c r="F90" s="5">
        <v>44200</v>
      </c>
      <c r="G90" s="11">
        <v>41610</v>
      </c>
      <c r="H90" s="11">
        <v>3706</v>
      </c>
      <c r="I90" s="11">
        <v>45316</v>
      </c>
      <c r="K90" s="5">
        <v>43472</v>
      </c>
      <c r="L90" s="5">
        <v>44200</v>
      </c>
      <c r="M90" s="11">
        <v>-9821</v>
      </c>
      <c r="N90" s="11">
        <v>-964</v>
      </c>
      <c r="O90" s="11">
        <v>-10785</v>
      </c>
      <c r="P90" s="8">
        <v>-0.19095487157550894</v>
      </c>
      <c r="Q90" s="8">
        <v>-0.20642398286937902</v>
      </c>
      <c r="R90" s="12">
        <v>-0.19224256252116723</v>
      </c>
    </row>
    <row r="91" spans="1:18" x14ac:dyDescent="0.2">
      <c r="A91" s="5">
        <v>43470</v>
      </c>
      <c r="B91" s="11">
        <v>51532</v>
      </c>
      <c r="C91" s="11">
        <v>1018</v>
      </c>
      <c r="D91" s="11">
        <v>52550</v>
      </c>
      <c r="F91" s="5">
        <v>44201</v>
      </c>
      <c r="G91" s="11">
        <v>43377</v>
      </c>
      <c r="H91" s="11">
        <v>4515</v>
      </c>
      <c r="I91" s="11">
        <v>47892</v>
      </c>
      <c r="K91" s="5">
        <v>43473</v>
      </c>
      <c r="L91" s="5">
        <v>44201</v>
      </c>
      <c r="M91" s="11">
        <v>-8846</v>
      </c>
      <c r="N91" s="11">
        <v>-637</v>
      </c>
      <c r="O91" s="11">
        <v>-9483</v>
      </c>
      <c r="P91" s="8">
        <v>-0.16938896654730673</v>
      </c>
      <c r="Q91" s="8">
        <v>-0.12364130434782605</v>
      </c>
      <c r="R91" s="12">
        <v>-0.16528104575163394</v>
      </c>
    </row>
    <row r="92" spans="1:18" x14ac:dyDescent="0.2">
      <c r="A92" s="5">
        <v>43471</v>
      </c>
      <c r="B92" s="11">
        <v>45531</v>
      </c>
      <c r="C92" s="11">
        <v>294</v>
      </c>
      <c r="D92" s="11">
        <v>45825</v>
      </c>
      <c r="F92" s="5">
        <v>44202</v>
      </c>
      <c r="G92" s="11">
        <v>43415</v>
      </c>
      <c r="H92" s="11">
        <v>4277</v>
      </c>
      <c r="I92" s="11">
        <v>47692</v>
      </c>
      <c r="K92" s="5">
        <v>43474</v>
      </c>
      <c r="L92" s="5">
        <v>44202</v>
      </c>
      <c r="M92" s="11">
        <v>-9905</v>
      </c>
      <c r="N92" s="11">
        <v>-954</v>
      </c>
      <c r="O92" s="11">
        <v>-10859</v>
      </c>
      <c r="P92" s="8">
        <v>-0.18576519129782443</v>
      </c>
      <c r="Q92" s="8">
        <v>-0.18237430701586699</v>
      </c>
      <c r="R92" s="12">
        <v>-0.18546224658844424</v>
      </c>
    </row>
    <row r="93" spans="1:18" x14ac:dyDescent="0.2">
      <c r="A93" s="5">
        <v>43472</v>
      </c>
      <c r="B93" s="11">
        <v>51431</v>
      </c>
      <c r="C93" s="11">
        <v>4670</v>
      </c>
      <c r="D93" s="11">
        <v>56101</v>
      </c>
      <c r="F93" s="5">
        <v>44203</v>
      </c>
      <c r="G93" s="11">
        <v>45603</v>
      </c>
      <c r="H93" s="11">
        <v>4481</v>
      </c>
      <c r="I93" s="11">
        <v>50084</v>
      </c>
      <c r="K93" s="5">
        <v>43475</v>
      </c>
      <c r="L93" s="5">
        <v>44203</v>
      </c>
      <c r="M93" s="11">
        <v>-6043</v>
      </c>
      <c r="N93" s="11">
        <v>-783</v>
      </c>
      <c r="O93" s="11">
        <v>-6826</v>
      </c>
      <c r="P93" s="8">
        <v>-0.11700809356000463</v>
      </c>
      <c r="Q93" s="8">
        <v>-0.14874620060790278</v>
      </c>
      <c r="R93" s="12">
        <v>-0.11994377086628005</v>
      </c>
    </row>
    <row r="94" spans="1:18" x14ac:dyDescent="0.2">
      <c r="A94" s="5">
        <v>43473</v>
      </c>
      <c r="B94" s="11">
        <v>52223</v>
      </c>
      <c r="C94" s="11">
        <v>5152</v>
      </c>
      <c r="D94" s="11">
        <v>57375</v>
      </c>
      <c r="F94" s="5">
        <v>44204</v>
      </c>
      <c r="G94" s="11">
        <v>48854</v>
      </c>
      <c r="H94" s="11">
        <v>4427</v>
      </c>
      <c r="I94" s="11">
        <v>53281</v>
      </c>
      <c r="K94" s="5">
        <v>43476</v>
      </c>
      <c r="L94" s="5">
        <v>44204</v>
      </c>
      <c r="M94" s="11">
        <v>-8793</v>
      </c>
      <c r="N94" s="11">
        <v>-593</v>
      </c>
      <c r="O94" s="11">
        <v>-9386</v>
      </c>
      <c r="P94" s="8">
        <v>-0.15253178829774316</v>
      </c>
      <c r="Q94" s="8">
        <v>-0.11812749003984069</v>
      </c>
      <c r="R94" s="12">
        <v>-0.14977579906489857</v>
      </c>
    </row>
    <row r="95" spans="1:18" x14ac:dyDescent="0.2">
      <c r="A95" s="5">
        <v>43474</v>
      </c>
      <c r="B95" s="11">
        <v>53320</v>
      </c>
      <c r="C95" s="11">
        <v>5231</v>
      </c>
      <c r="D95" s="11">
        <v>58551</v>
      </c>
      <c r="F95" s="5">
        <v>44205</v>
      </c>
      <c r="G95" s="11">
        <v>45400</v>
      </c>
      <c r="H95" s="11">
        <v>970</v>
      </c>
      <c r="I95" s="11">
        <v>46370</v>
      </c>
      <c r="K95" s="5">
        <v>43477</v>
      </c>
      <c r="L95" s="5">
        <v>44205</v>
      </c>
      <c r="M95" s="11">
        <v>-9088</v>
      </c>
      <c r="N95" s="11">
        <v>-218</v>
      </c>
      <c r="O95" s="11">
        <v>-9306</v>
      </c>
      <c r="P95" s="8">
        <v>-0.16678901776537958</v>
      </c>
      <c r="Q95" s="8">
        <v>-0.1835016835016835</v>
      </c>
      <c r="R95" s="12">
        <v>-0.16714562827789348</v>
      </c>
    </row>
    <row r="96" spans="1:18" x14ac:dyDescent="0.2">
      <c r="A96" s="5">
        <v>43475</v>
      </c>
      <c r="B96" s="11">
        <v>51646</v>
      </c>
      <c r="C96" s="11">
        <v>5264</v>
      </c>
      <c r="D96" s="11">
        <v>56910</v>
      </c>
      <c r="F96" s="5">
        <v>44206</v>
      </c>
      <c r="G96" s="11">
        <v>36303</v>
      </c>
      <c r="H96" s="11">
        <v>243</v>
      </c>
      <c r="I96" s="11">
        <v>36546</v>
      </c>
      <c r="K96" s="5">
        <v>43478</v>
      </c>
      <c r="L96" s="5">
        <v>44206</v>
      </c>
      <c r="M96" s="11">
        <v>-10039</v>
      </c>
      <c r="N96" s="11">
        <v>-56</v>
      </c>
      <c r="O96" s="11">
        <v>-10095</v>
      </c>
      <c r="P96" s="8">
        <v>-0.21662854430106604</v>
      </c>
      <c r="Q96" s="8">
        <v>-0.18729096989966554</v>
      </c>
      <c r="R96" s="12">
        <v>-0.21644047083038531</v>
      </c>
    </row>
    <row r="97" spans="1:18" x14ac:dyDescent="0.2">
      <c r="A97" s="5">
        <v>43476</v>
      </c>
      <c r="B97" s="11">
        <v>57647</v>
      </c>
      <c r="C97" s="11">
        <v>5020</v>
      </c>
      <c r="D97" s="11">
        <v>62667</v>
      </c>
      <c r="F97" s="5">
        <v>44207</v>
      </c>
      <c r="G97" s="11">
        <v>47103</v>
      </c>
      <c r="H97" s="11">
        <v>5059</v>
      </c>
      <c r="I97" s="11">
        <v>52162</v>
      </c>
      <c r="K97" s="5">
        <v>43479</v>
      </c>
      <c r="L97" s="5">
        <v>44207</v>
      </c>
      <c r="M97" s="11">
        <v>-7180</v>
      </c>
      <c r="N97" s="11">
        <v>-214</v>
      </c>
      <c r="O97" s="11">
        <v>-7394</v>
      </c>
      <c r="P97" s="8">
        <v>-0.13226977138330598</v>
      </c>
      <c r="Q97" s="8">
        <v>-4.0584107718566242E-2</v>
      </c>
      <c r="R97" s="12">
        <v>-0.12415205856672706</v>
      </c>
    </row>
    <row r="98" spans="1:18" x14ac:dyDescent="0.2">
      <c r="A98" s="5">
        <v>43477</v>
      </c>
      <c r="B98" s="11">
        <v>54488</v>
      </c>
      <c r="C98" s="11">
        <v>1188</v>
      </c>
      <c r="D98" s="11">
        <v>55676</v>
      </c>
      <c r="F98" s="5">
        <v>44208</v>
      </c>
      <c r="G98" s="11">
        <v>43214</v>
      </c>
      <c r="H98" s="11">
        <v>5478</v>
      </c>
      <c r="I98" s="11">
        <v>48692</v>
      </c>
      <c r="K98" s="5">
        <v>43480</v>
      </c>
      <c r="L98" s="5">
        <v>44208</v>
      </c>
      <c r="M98" s="11">
        <v>-12627</v>
      </c>
      <c r="N98" s="11">
        <v>-158</v>
      </c>
      <c r="O98" s="11">
        <v>-12785</v>
      </c>
      <c r="P98" s="8">
        <v>-0.22612417399401874</v>
      </c>
      <c r="Q98" s="8">
        <v>-2.8034066713981565E-2</v>
      </c>
      <c r="R98" s="12">
        <v>-0.20796395399905654</v>
      </c>
    </row>
    <row r="99" spans="1:18" x14ac:dyDescent="0.2">
      <c r="A99" s="5">
        <v>43478</v>
      </c>
      <c r="B99" s="11">
        <v>46342</v>
      </c>
      <c r="C99" s="11">
        <v>299</v>
      </c>
      <c r="D99" s="11">
        <v>46641</v>
      </c>
      <c r="F99" s="5">
        <v>44209</v>
      </c>
      <c r="G99" s="11">
        <v>46254</v>
      </c>
      <c r="H99" s="11">
        <v>5399</v>
      </c>
      <c r="I99" s="11">
        <v>51653</v>
      </c>
      <c r="K99" s="5">
        <v>43481</v>
      </c>
      <c r="L99" s="5">
        <v>44209</v>
      </c>
      <c r="M99" s="11">
        <v>-10446</v>
      </c>
      <c r="N99" s="11">
        <v>-198</v>
      </c>
      <c r="O99" s="11">
        <v>-10644</v>
      </c>
      <c r="P99" s="8">
        <v>-0.18423280423280419</v>
      </c>
      <c r="Q99" s="8">
        <v>-3.5376094336251551E-2</v>
      </c>
      <c r="R99" s="12">
        <v>-0.17085894986917505</v>
      </c>
    </row>
    <row r="100" spans="1:18" x14ac:dyDescent="0.2">
      <c r="A100" s="5">
        <v>43479</v>
      </c>
      <c r="B100" s="11">
        <v>54283</v>
      </c>
      <c r="C100" s="11">
        <v>5273</v>
      </c>
      <c r="D100" s="11">
        <v>59556</v>
      </c>
      <c r="F100" s="5">
        <v>44210</v>
      </c>
      <c r="G100" s="11">
        <v>38678</v>
      </c>
      <c r="H100" s="11">
        <v>4974</v>
      </c>
      <c r="I100" s="11">
        <v>43652</v>
      </c>
      <c r="K100" s="5">
        <v>43482</v>
      </c>
      <c r="L100" s="5">
        <v>44210</v>
      </c>
      <c r="M100" s="11">
        <v>-18273</v>
      </c>
      <c r="N100" s="11">
        <v>-707</v>
      </c>
      <c r="O100" s="11">
        <v>-18980</v>
      </c>
      <c r="P100" s="8">
        <v>-0.32085476988990536</v>
      </c>
      <c r="Q100" s="8">
        <v>-0.12444992078859352</v>
      </c>
      <c r="R100" s="12">
        <v>-0.30303997956316264</v>
      </c>
    </row>
    <row r="101" spans="1:18" x14ac:dyDescent="0.2">
      <c r="A101" s="5">
        <v>43480</v>
      </c>
      <c r="B101" s="11">
        <v>55841</v>
      </c>
      <c r="C101" s="11">
        <v>5636</v>
      </c>
      <c r="D101" s="11">
        <v>61477</v>
      </c>
      <c r="F101" s="5">
        <v>44211</v>
      </c>
      <c r="G101" s="11">
        <v>35344</v>
      </c>
      <c r="H101" s="11">
        <v>4463</v>
      </c>
      <c r="I101" s="11">
        <v>39807</v>
      </c>
      <c r="K101" s="5">
        <v>43483</v>
      </c>
      <c r="L101" s="5">
        <v>44211</v>
      </c>
      <c r="M101" s="11">
        <v>-25712</v>
      </c>
      <c r="N101" s="11">
        <v>-691</v>
      </c>
      <c r="O101" s="11">
        <v>-26403</v>
      </c>
      <c r="P101" s="8">
        <v>-0.42112159329140464</v>
      </c>
      <c r="Q101" s="8">
        <v>-0.13407062475746989</v>
      </c>
      <c r="R101" s="12">
        <v>-0.3987766198459447</v>
      </c>
    </row>
    <row r="102" spans="1:18" x14ac:dyDescent="0.2">
      <c r="A102" s="5">
        <v>43481</v>
      </c>
      <c r="B102" s="11">
        <v>56700</v>
      </c>
      <c r="C102" s="11">
        <v>5597</v>
      </c>
      <c r="D102" s="11">
        <v>62297</v>
      </c>
      <c r="F102" s="5">
        <v>44212</v>
      </c>
      <c r="G102" s="11">
        <v>40362</v>
      </c>
      <c r="H102" s="11">
        <v>1262</v>
      </c>
      <c r="I102" s="11">
        <v>41624</v>
      </c>
      <c r="K102" s="5">
        <v>43484</v>
      </c>
      <c r="L102" s="5">
        <v>44212</v>
      </c>
      <c r="M102" s="11">
        <v>-20418</v>
      </c>
      <c r="N102" s="11">
        <v>136</v>
      </c>
      <c r="O102" s="11">
        <v>-20282</v>
      </c>
      <c r="P102" s="8">
        <v>-0.33593287265547878</v>
      </c>
      <c r="Q102" s="8">
        <v>0.12078152753108351</v>
      </c>
      <c r="R102" s="12">
        <v>-0.32762575517720416</v>
      </c>
    </row>
    <row r="103" spans="1:18" x14ac:dyDescent="0.2">
      <c r="A103" s="5">
        <v>43482</v>
      </c>
      <c r="B103" s="11">
        <v>56951</v>
      </c>
      <c r="C103" s="11">
        <v>5681</v>
      </c>
      <c r="D103" s="11">
        <v>62632</v>
      </c>
      <c r="F103" s="5">
        <v>44213</v>
      </c>
      <c r="G103" s="11">
        <v>27259</v>
      </c>
      <c r="H103" s="11">
        <v>249</v>
      </c>
      <c r="I103" s="11">
        <v>27508</v>
      </c>
      <c r="K103" s="5">
        <v>43485</v>
      </c>
      <c r="L103" s="5">
        <v>44213</v>
      </c>
      <c r="M103" s="11">
        <v>-23100</v>
      </c>
      <c r="N103" s="11">
        <v>-102</v>
      </c>
      <c r="O103" s="11">
        <v>-23202</v>
      </c>
      <c r="P103" s="8">
        <v>-0.45870648742032205</v>
      </c>
      <c r="Q103" s="8">
        <v>-0.29059829059829057</v>
      </c>
      <c r="R103" s="12">
        <v>-0.45754289094853084</v>
      </c>
    </row>
    <row r="104" spans="1:18" x14ac:dyDescent="0.2">
      <c r="A104" s="5">
        <v>43483</v>
      </c>
      <c r="B104" s="11">
        <v>61056</v>
      </c>
      <c r="C104" s="11">
        <v>5154</v>
      </c>
      <c r="D104" s="11">
        <v>66210</v>
      </c>
      <c r="F104" s="5">
        <v>44214</v>
      </c>
      <c r="G104" s="11">
        <v>41943</v>
      </c>
      <c r="H104" s="11">
        <v>5313</v>
      </c>
      <c r="I104" s="11">
        <v>47256</v>
      </c>
      <c r="K104" s="5">
        <v>43486</v>
      </c>
      <c r="L104" s="5">
        <v>44214</v>
      </c>
      <c r="M104" s="11">
        <v>-12973</v>
      </c>
      <c r="N104" s="11">
        <v>30</v>
      </c>
      <c r="O104" s="11">
        <v>-12943</v>
      </c>
      <c r="P104" s="8">
        <v>-0.23623352028552702</v>
      </c>
      <c r="Q104" s="8">
        <v>5.6785917092561089E-3</v>
      </c>
      <c r="R104" s="12">
        <v>-0.2150035714878985</v>
      </c>
    </row>
    <row r="105" spans="1:18" x14ac:dyDescent="0.2">
      <c r="A105" s="5">
        <v>43484</v>
      </c>
      <c r="B105" s="11">
        <v>60780</v>
      </c>
      <c r="C105" s="11">
        <v>1126</v>
      </c>
      <c r="D105" s="11">
        <v>61906</v>
      </c>
      <c r="F105" s="5">
        <v>44215</v>
      </c>
      <c r="G105" s="11">
        <v>43526</v>
      </c>
      <c r="H105" s="11">
        <v>5691</v>
      </c>
      <c r="I105" s="11">
        <v>49217</v>
      </c>
      <c r="K105" s="5">
        <v>43487</v>
      </c>
      <c r="L105" s="5">
        <v>44215</v>
      </c>
      <c r="M105" s="11">
        <v>-12573</v>
      </c>
      <c r="N105" s="11">
        <v>6</v>
      </c>
      <c r="O105" s="11">
        <v>-12567</v>
      </c>
      <c r="P105" s="8">
        <v>-0.22412164209700702</v>
      </c>
      <c r="Q105" s="8">
        <v>1.0554089709762238E-3</v>
      </c>
      <c r="R105" s="12">
        <v>-0.20340217532047133</v>
      </c>
    </row>
    <row r="106" spans="1:18" x14ac:dyDescent="0.2">
      <c r="A106" s="5">
        <v>43485</v>
      </c>
      <c r="B106" s="11">
        <v>50359</v>
      </c>
      <c r="C106" s="11">
        <v>351</v>
      </c>
      <c r="D106" s="11">
        <v>50710</v>
      </c>
      <c r="F106" s="5">
        <v>44216</v>
      </c>
      <c r="G106" s="11">
        <v>45224</v>
      </c>
      <c r="H106" s="11">
        <v>5761</v>
      </c>
      <c r="I106" s="11">
        <v>50985</v>
      </c>
      <c r="K106" s="5">
        <v>43488</v>
      </c>
      <c r="L106" s="5">
        <v>44216</v>
      </c>
      <c r="M106" s="11">
        <v>-12461</v>
      </c>
      <c r="N106" s="11">
        <v>127</v>
      </c>
      <c r="O106" s="11">
        <v>-12334</v>
      </c>
      <c r="P106" s="8">
        <v>-0.21601802895033373</v>
      </c>
      <c r="Q106" s="8">
        <v>2.2541711040113599E-2</v>
      </c>
      <c r="R106" s="12">
        <v>-0.19479145280247634</v>
      </c>
    </row>
    <row r="107" spans="1:18" x14ac:dyDescent="0.2">
      <c r="A107" s="5">
        <v>43486</v>
      </c>
      <c r="B107" s="11">
        <v>54916</v>
      </c>
      <c r="C107" s="11">
        <v>5283</v>
      </c>
      <c r="D107" s="11">
        <v>60199</v>
      </c>
      <c r="F107" s="5">
        <v>44217</v>
      </c>
      <c r="G107" s="11">
        <v>46007</v>
      </c>
      <c r="H107" s="11">
        <v>5745</v>
      </c>
      <c r="I107" s="11">
        <v>51752</v>
      </c>
      <c r="K107" s="5">
        <v>43489</v>
      </c>
      <c r="L107" s="5">
        <v>44217</v>
      </c>
      <c r="M107" s="11">
        <v>-11690</v>
      </c>
      <c r="N107" s="11">
        <v>176</v>
      </c>
      <c r="O107" s="11">
        <v>-11514</v>
      </c>
      <c r="P107" s="8">
        <v>-0.20261018770473338</v>
      </c>
      <c r="Q107" s="8">
        <v>3.160351948285145E-2</v>
      </c>
      <c r="R107" s="12">
        <v>-0.18199348781335944</v>
      </c>
    </row>
    <row r="108" spans="1:18" x14ac:dyDescent="0.2">
      <c r="A108" s="5">
        <v>43487</v>
      </c>
      <c r="B108" s="11">
        <v>56099</v>
      </c>
      <c r="C108" s="11">
        <v>5685</v>
      </c>
      <c r="D108" s="11">
        <v>61784</v>
      </c>
      <c r="F108" s="5">
        <v>44218</v>
      </c>
      <c r="G108" s="11">
        <v>49023</v>
      </c>
      <c r="H108" s="11">
        <v>5267</v>
      </c>
      <c r="I108" s="11">
        <v>54290</v>
      </c>
      <c r="K108" s="5">
        <v>43490</v>
      </c>
      <c r="L108" s="5">
        <v>44218</v>
      </c>
      <c r="M108" s="11">
        <v>-14138</v>
      </c>
      <c r="N108" s="11">
        <v>117</v>
      </c>
      <c r="O108" s="11">
        <v>-14021</v>
      </c>
      <c r="P108" s="8">
        <v>-0.22384066116749257</v>
      </c>
      <c r="Q108" s="8">
        <v>2.2718446601941666E-2</v>
      </c>
      <c r="R108" s="12">
        <v>-0.20525244836117174</v>
      </c>
    </row>
    <row r="109" spans="1:18" x14ac:dyDescent="0.2">
      <c r="A109" s="5">
        <v>43488</v>
      </c>
      <c r="B109" s="11">
        <v>57685</v>
      </c>
      <c r="C109" s="11">
        <v>5634</v>
      </c>
      <c r="D109" s="11">
        <v>63319</v>
      </c>
      <c r="F109" s="5">
        <v>44219</v>
      </c>
      <c r="G109" s="11">
        <v>42463</v>
      </c>
      <c r="H109" s="11">
        <v>1109</v>
      </c>
      <c r="I109" s="11">
        <v>43572</v>
      </c>
      <c r="K109" s="5">
        <v>43491</v>
      </c>
      <c r="L109" s="5">
        <v>44219</v>
      </c>
      <c r="M109" s="11">
        <v>-19844</v>
      </c>
      <c r="N109" s="11">
        <v>-55</v>
      </c>
      <c r="O109" s="11">
        <v>-19899</v>
      </c>
      <c r="P109" s="8">
        <v>-0.31848748936716575</v>
      </c>
      <c r="Q109" s="8">
        <v>-4.7250859106529264E-2</v>
      </c>
      <c r="R109" s="12">
        <v>-0.31351325802334928</v>
      </c>
    </row>
    <row r="110" spans="1:18" x14ac:dyDescent="0.2">
      <c r="A110" s="5">
        <v>43489</v>
      </c>
      <c r="B110" s="11">
        <v>57697</v>
      </c>
      <c r="C110" s="11">
        <v>5569</v>
      </c>
      <c r="D110" s="11">
        <v>63266</v>
      </c>
      <c r="F110" s="5">
        <v>44220</v>
      </c>
      <c r="G110" s="11">
        <v>36184</v>
      </c>
      <c r="H110" s="11">
        <v>233</v>
      </c>
      <c r="I110" s="11">
        <v>36417</v>
      </c>
      <c r="K110" s="5">
        <v>43492</v>
      </c>
      <c r="L110" s="5">
        <v>44220</v>
      </c>
      <c r="M110" s="11">
        <v>-16004</v>
      </c>
      <c r="N110" s="11">
        <v>-127</v>
      </c>
      <c r="O110" s="11">
        <v>-16131</v>
      </c>
      <c r="P110" s="8">
        <v>-0.30666053498888635</v>
      </c>
      <c r="Q110" s="8">
        <v>-0.35277777777777775</v>
      </c>
      <c r="R110" s="12">
        <v>-0.30697647864809319</v>
      </c>
    </row>
    <row r="111" spans="1:18" x14ac:dyDescent="0.2">
      <c r="A111" s="5">
        <v>43490</v>
      </c>
      <c r="B111" s="11">
        <v>63161</v>
      </c>
      <c r="C111" s="11">
        <v>5150</v>
      </c>
      <c r="D111" s="11">
        <v>68311</v>
      </c>
      <c r="F111" s="5">
        <v>44221</v>
      </c>
      <c r="G111" s="11">
        <v>42272</v>
      </c>
      <c r="H111" s="11">
        <v>5428</v>
      </c>
      <c r="I111" s="11">
        <v>47700</v>
      </c>
      <c r="K111" s="5">
        <v>43493</v>
      </c>
      <c r="L111" s="5">
        <v>44221</v>
      </c>
      <c r="M111" s="11">
        <f t="shared" ref="M111:M113" si="16">G111-B114</f>
        <v>-12178</v>
      </c>
      <c r="N111" s="11">
        <f t="shared" ref="N111:N113" si="17">H111-C114</f>
        <v>11</v>
      </c>
      <c r="O111" s="11">
        <f t="shared" ref="O111:O113" si="18">I111-D114</f>
        <v>-12167</v>
      </c>
      <c r="P111" s="8">
        <f t="shared" ref="P111:P113" si="19">G111/B114-1</f>
        <v>-0.22365472910927453</v>
      </c>
      <c r="Q111" s="8">
        <f t="shared" ref="Q111:Q113" si="20">H111/C114-1</f>
        <v>2.030644268045112E-3</v>
      </c>
      <c r="R111" s="12">
        <f t="shared" ref="R111:R113" si="21">I111/D114-1</f>
        <v>-0.20323383500091874</v>
      </c>
    </row>
    <row r="112" spans="1:18" x14ac:dyDescent="0.2">
      <c r="A112" s="5">
        <v>43491</v>
      </c>
      <c r="B112" s="11">
        <v>62307</v>
      </c>
      <c r="C112" s="11">
        <v>1164</v>
      </c>
      <c r="D112" s="11">
        <v>63471</v>
      </c>
      <c r="F112" s="5">
        <v>44222</v>
      </c>
      <c r="G112" s="11">
        <v>45003</v>
      </c>
      <c r="H112" s="11">
        <v>5854</v>
      </c>
      <c r="I112" s="11">
        <v>50857</v>
      </c>
      <c r="K112" s="5">
        <v>43494</v>
      </c>
      <c r="L112" s="5">
        <v>44222</v>
      </c>
      <c r="M112" s="11">
        <f t="shared" si="16"/>
        <v>-12000</v>
      </c>
      <c r="N112" s="11">
        <f t="shared" si="17"/>
        <v>140</v>
      </c>
      <c r="O112" s="11">
        <f t="shared" si="18"/>
        <v>-11860</v>
      </c>
      <c r="P112" s="8">
        <f t="shared" si="19"/>
        <v>-0.21051523604020839</v>
      </c>
      <c r="Q112" s="8">
        <f t="shared" si="20"/>
        <v>2.4501225061253074E-2</v>
      </c>
      <c r="R112" s="12">
        <f t="shared" si="21"/>
        <v>-0.18910343288103704</v>
      </c>
    </row>
    <row r="113" spans="1:18" x14ac:dyDescent="0.2">
      <c r="A113" s="5">
        <v>43492</v>
      </c>
      <c r="B113" s="11">
        <v>52188</v>
      </c>
      <c r="C113" s="11">
        <v>360</v>
      </c>
      <c r="D113" s="11">
        <v>52548</v>
      </c>
      <c r="F113" s="5">
        <v>44223</v>
      </c>
      <c r="G113" s="11">
        <v>44060</v>
      </c>
      <c r="H113" s="11">
        <v>5772</v>
      </c>
      <c r="I113" s="11">
        <v>49832</v>
      </c>
      <c r="K113" s="5">
        <v>43495</v>
      </c>
      <c r="L113" s="5">
        <v>44223</v>
      </c>
      <c r="M113" s="11">
        <f t="shared" si="16"/>
        <v>-13862</v>
      </c>
      <c r="N113" s="11">
        <f t="shared" si="17"/>
        <v>70</v>
      </c>
      <c r="O113" s="11">
        <f t="shared" si="18"/>
        <v>-13792</v>
      </c>
      <c r="P113" s="8">
        <f t="shared" si="19"/>
        <v>-0.23932184662131828</v>
      </c>
      <c r="Q113" s="8">
        <f t="shared" si="20"/>
        <v>1.2276394247632494E-2</v>
      </c>
      <c r="R113" s="12">
        <f t="shared" si="21"/>
        <v>-0.21677354457437448</v>
      </c>
    </row>
    <row r="114" spans="1:18" x14ac:dyDescent="0.2">
      <c r="A114" s="5">
        <v>43493</v>
      </c>
      <c r="B114" s="11">
        <v>54450</v>
      </c>
      <c r="C114" s="11">
        <v>5417</v>
      </c>
      <c r="D114" s="11">
        <v>59867</v>
      </c>
      <c r="F114" s="5">
        <v>44224</v>
      </c>
      <c r="G114" s="11">
        <v>46228</v>
      </c>
      <c r="H114" s="11">
        <v>6039</v>
      </c>
      <c r="I114" s="11">
        <v>52267</v>
      </c>
      <c r="K114" s="5">
        <v>43496</v>
      </c>
      <c r="L114" s="5">
        <v>44224</v>
      </c>
      <c r="M114" s="11">
        <f t="shared" ref="M114:M117" si="22">G114-B117</f>
        <v>-12507</v>
      </c>
      <c r="N114" s="11">
        <f t="shared" ref="N114:N117" si="23">H114-C117</f>
        <v>320</v>
      </c>
      <c r="O114" s="11">
        <f t="shared" ref="O114:O117" si="24">I114-D117</f>
        <v>-12187</v>
      </c>
      <c r="P114" s="8">
        <f t="shared" ref="P114:P117" si="25">G114/B117-1</f>
        <v>-0.21293947390823187</v>
      </c>
      <c r="Q114" s="8">
        <f t="shared" ref="Q114:Q117" si="26">H114/C117-1</f>
        <v>5.595383808358112E-2</v>
      </c>
      <c r="R114" s="12">
        <f t="shared" ref="R114:R117" si="27">I114/D117-1</f>
        <v>-0.18908058460297261</v>
      </c>
    </row>
    <row r="115" spans="1:18" x14ac:dyDescent="0.2">
      <c r="A115" s="5">
        <v>43494</v>
      </c>
      <c r="B115" s="11">
        <v>57003</v>
      </c>
      <c r="C115" s="11">
        <v>5714</v>
      </c>
      <c r="D115" s="11">
        <v>62717</v>
      </c>
      <c r="F115" s="5">
        <v>44225</v>
      </c>
      <c r="G115" s="11">
        <v>51113</v>
      </c>
      <c r="H115" s="11">
        <v>5175</v>
      </c>
      <c r="I115" s="11">
        <v>56288</v>
      </c>
      <c r="K115" s="5">
        <v>43497</v>
      </c>
      <c r="L115" s="5">
        <v>44225</v>
      </c>
      <c r="M115" s="11">
        <f t="shared" si="22"/>
        <v>-10093</v>
      </c>
      <c r="N115" s="11">
        <f t="shared" si="23"/>
        <v>99</v>
      </c>
      <c r="O115" s="11">
        <f t="shared" si="24"/>
        <v>-9994</v>
      </c>
      <c r="P115" s="8">
        <f t="shared" si="25"/>
        <v>-0.16490213377773422</v>
      </c>
      <c r="Q115" s="8">
        <f t="shared" si="26"/>
        <v>1.9503546099290725E-2</v>
      </c>
      <c r="R115" s="12">
        <f t="shared" si="27"/>
        <v>-0.15078000060348207</v>
      </c>
    </row>
    <row r="116" spans="1:18" x14ac:dyDescent="0.2">
      <c r="A116" s="5">
        <v>43495</v>
      </c>
      <c r="B116" s="11">
        <v>57922</v>
      </c>
      <c r="C116" s="11">
        <v>5702</v>
      </c>
      <c r="D116" s="11">
        <v>63624</v>
      </c>
      <c r="F116" s="5">
        <v>44226</v>
      </c>
      <c r="G116" s="11">
        <v>46715</v>
      </c>
      <c r="H116" s="11">
        <v>1079</v>
      </c>
      <c r="I116" s="11">
        <v>47794</v>
      </c>
      <c r="K116" s="5">
        <v>43498</v>
      </c>
      <c r="L116" s="5">
        <v>44226</v>
      </c>
      <c r="M116" s="11">
        <f t="shared" si="22"/>
        <v>-14081</v>
      </c>
      <c r="N116" s="11">
        <f t="shared" si="23"/>
        <v>-92</v>
      </c>
      <c r="O116" s="11">
        <f t="shared" si="24"/>
        <v>-14173</v>
      </c>
      <c r="P116" s="8">
        <f t="shared" si="25"/>
        <v>-0.23161063227843937</v>
      </c>
      <c r="Q116" s="8">
        <f t="shared" si="26"/>
        <v>-7.8565328778821497E-2</v>
      </c>
      <c r="R116" s="12">
        <f t="shared" si="27"/>
        <v>-0.22871851146578015</v>
      </c>
    </row>
    <row r="117" spans="1:18" x14ac:dyDescent="0.2">
      <c r="A117" s="5">
        <v>43496</v>
      </c>
      <c r="B117" s="11">
        <v>58735</v>
      </c>
      <c r="C117" s="11">
        <v>5719</v>
      </c>
      <c r="D117" s="11">
        <v>64454</v>
      </c>
      <c r="F117" s="5">
        <v>44227</v>
      </c>
      <c r="G117" s="11">
        <v>36040</v>
      </c>
      <c r="H117" s="11">
        <v>262</v>
      </c>
      <c r="I117" s="11">
        <v>36302</v>
      </c>
      <c r="K117" s="5">
        <v>43499</v>
      </c>
      <c r="L117" s="5">
        <v>44227</v>
      </c>
      <c r="M117" s="11">
        <f t="shared" si="22"/>
        <v>-11648</v>
      </c>
      <c r="N117" s="11">
        <f t="shared" si="23"/>
        <v>-91</v>
      </c>
      <c r="O117" s="11">
        <f t="shared" si="24"/>
        <v>-11739</v>
      </c>
      <c r="P117" s="8">
        <f t="shared" si="25"/>
        <v>-0.24425431974500922</v>
      </c>
      <c r="Q117" s="8">
        <f t="shared" si="26"/>
        <v>-0.25779036827195467</v>
      </c>
      <c r="R117" s="12">
        <f t="shared" si="27"/>
        <v>-0.24435378114527173</v>
      </c>
    </row>
    <row r="118" spans="1:18" x14ac:dyDescent="0.2">
      <c r="A118" s="5">
        <v>43497</v>
      </c>
      <c r="B118" s="11">
        <v>61206</v>
      </c>
      <c r="C118" s="11">
        <v>5076</v>
      </c>
      <c r="D118" s="11">
        <v>66282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2">
      <c r="A119" s="5">
        <v>43498</v>
      </c>
      <c r="B119" s="11">
        <v>60796</v>
      </c>
      <c r="C119" s="11">
        <v>1171</v>
      </c>
      <c r="D119" s="11">
        <v>61967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2">
      <c r="A120" s="5">
        <v>43499</v>
      </c>
      <c r="B120" s="11">
        <v>47688</v>
      </c>
      <c r="C120" s="11">
        <v>353</v>
      </c>
      <c r="D120" s="11">
        <v>48041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R120"/>
  <sheetViews>
    <sheetView zoomScale="70" zoomScaleNormal="70" workbookViewId="0"/>
  </sheetViews>
  <sheetFormatPr baseColWidth="10" defaultRowHeight="12.75" x14ac:dyDescent="0.2"/>
  <cols>
    <col min="1" max="1" width="29.42578125" customWidth="1"/>
    <col min="2" max="2" width="12.85546875" bestFit="1" customWidth="1"/>
    <col min="3" max="3" width="7.42578125" bestFit="1" customWidth="1"/>
    <col min="4" max="4" width="15.85546875" bestFit="1" customWidth="1"/>
    <col min="5" max="5" width="1.140625" customWidth="1"/>
    <col min="6" max="6" width="30" customWidth="1"/>
    <col min="7" max="7" width="12.85546875" bestFit="1" customWidth="1"/>
    <col min="8" max="8" width="7.42578125" bestFit="1" customWidth="1"/>
    <col min="9" max="9" width="15.85546875" bestFit="1" customWidth="1"/>
    <col min="10" max="10" width="0.85546875" customWidth="1"/>
    <col min="11" max="11" width="29.42578125" customWidth="1"/>
    <col min="12" max="12" width="29.5703125" customWidth="1"/>
    <col min="13" max="13" width="12.85546875" bestFit="1" customWidth="1"/>
    <col min="14" max="14" width="7.42578125" bestFit="1" customWidth="1"/>
    <col min="15" max="15" width="15.85546875" bestFit="1" customWidth="1"/>
    <col min="16" max="16" width="12.85546875" bestFit="1" customWidth="1"/>
    <col min="17" max="17" width="7.140625" bestFit="1" customWidth="1"/>
    <col min="18" max="18" width="15.85546875" style="9" bestFit="1" customWidth="1"/>
  </cols>
  <sheetData>
    <row r="1" spans="1:18" ht="15.75" x14ac:dyDescent="0.25">
      <c r="A1" s="10" t="s">
        <v>57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1" t="s">
        <v>47</v>
      </c>
      <c r="B6" s="22"/>
      <c r="C6" s="22"/>
      <c r="D6" s="22"/>
      <c r="E6" s="17"/>
      <c r="F6" s="17"/>
      <c r="G6" s="17"/>
    </row>
    <row r="7" spans="1:18" ht="15" x14ac:dyDescent="0.2">
      <c r="A7" s="21" t="s">
        <v>48</v>
      </c>
      <c r="B7" s="22"/>
      <c r="C7" s="22"/>
    </row>
    <row r="9" spans="1:18" ht="12.95" customHeight="1" x14ac:dyDescent="0.2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5" customHeight="1" x14ac:dyDescent="0.2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">
      <c r="A11" s="5">
        <v>43466</v>
      </c>
      <c r="B11" s="11">
        <v>55509</v>
      </c>
      <c r="C11" s="11">
        <v>218</v>
      </c>
      <c r="D11" s="11">
        <v>55727</v>
      </c>
      <c r="F11" s="5">
        <v>44197</v>
      </c>
      <c r="G11" s="11">
        <v>42277</v>
      </c>
      <c r="H11" s="11">
        <v>121</v>
      </c>
      <c r="I11" s="11">
        <v>42398</v>
      </c>
      <c r="K11" s="5">
        <v>43469</v>
      </c>
      <c r="L11" s="5">
        <v>44197</v>
      </c>
      <c r="M11" s="11">
        <v>-50684</v>
      </c>
      <c r="N11" s="11">
        <v>-2703</v>
      </c>
      <c r="O11" s="11">
        <v>-53387</v>
      </c>
      <c r="P11" s="8">
        <v>-0.54521788707092222</v>
      </c>
      <c r="Q11" s="8">
        <v>-0.9571529745042493</v>
      </c>
      <c r="R11" s="12">
        <v>-0.55736284386908186</v>
      </c>
    </row>
    <row r="12" spans="1:18" x14ac:dyDescent="0.2">
      <c r="A12" s="5">
        <v>43467</v>
      </c>
      <c r="B12" s="11">
        <v>67517</v>
      </c>
      <c r="C12" s="11">
        <v>762</v>
      </c>
      <c r="D12" s="11">
        <v>68279</v>
      </c>
      <c r="F12" s="5">
        <v>44198</v>
      </c>
      <c r="G12" s="11">
        <v>62184</v>
      </c>
      <c r="H12" s="11">
        <v>403</v>
      </c>
      <c r="I12" s="11">
        <v>62587</v>
      </c>
      <c r="K12" s="5">
        <v>43470</v>
      </c>
      <c r="L12" s="5">
        <v>44198</v>
      </c>
      <c r="M12" s="11">
        <v>-26536</v>
      </c>
      <c r="N12" s="11">
        <v>-638</v>
      </c>
      <c r="O12" s="11">
        <v>-27174</v>
      </c>
      <c r="P12" s="8">
        <v>-0.2990982867448152</v>
      </c>
      <c r="Q12" s="8">
        <v>-0.61287223823246872</v>
      </c>
      <c r="R12" s="12">
        <v>-0.30273726896981989</v>
      </c>
    </row>
    <row r="13" spans="1:18" x14ac:dyDescent="0.2">
      <c r="A13" s="5">
        <v>43468</v>
      </c>
      <c r="B13" s="11">
        <v>89171</v>
      </c>
      <c r="C13" s="11">
        <v>2797</v>
      </c>
      <c r="D13" s="11">
        <v>91968</v>
      </c>
      <c r="F13" s="5">
        <v>44199</v>
      </c>
      <c r="G13" s="11">
        <v>58539</v>
      </c>
      <c r="H13" s="11">
        <v>206</v>
      </c>
      <c r="I13" s="11">
        <v>58745</v>
      </c>
      <c r="K13" s="5">
        <v>43471</v>
      </c>
      <c r="L13" s="5">
        <v>44199</v>
      </c>
      <c r="M13" s="11">
        <v>-10108</v>
      </c>
      <c r="N13" s="11">
        <v>-181</v>
      </c>
      <c r="O13" s="11">
        <v>-10289</v>
      </c>
      <c r="P13" s="8">
        <v>-0.14724605590921669</v>
      </c>
      <c r="Q13" s="8">
        <v>-0.46770025839793283</v>
      </c>
      <c r="R13" s="12">
        <v>-0.14904250079670889</v>
      </c>
    </row>
    <row r="14" spans="1:18" x14ac:dyDescent="0.2">
      <c r="A14" s="5">
        <v>43469</v>
      </c>
      <c r="B14" s="11">
        <v>92961</v>
      </c>
      <c r="C14" s="11">
        <v>2824</v>
      </c>
      <c r="D14" s="11">
        <v>95785</v>
      </c>
      <c r="F14" s="5">
        <v>44200</v>
      </c>
      <c r="G14" s="11">
        <v>82884</v>
      </c>
      <c r="H14" s="11">
        <v>2398</v>
      </c>
      <c r="I14" s="11">
        <v>85282</v>
      </c>
      <c r="K14" s="5">
        <v>43472</v>
      </c>
      <c r="L14" s="5">
        <v>44200</v>
      </c>
      <c r="M14" s="11">
        <v>-10459</v>
      </c>
      <c r="N14" s="11">
        <v>-1405</v>
      </c>
      <c r="O14" s="11">
        <v>-11864</v>
      </c>
      <c r="P14" s="8">
        <v>-0.11204910919940436</v>
      </c>
      <c r="Q14" s="8">
        <v>-0.36944517486195105</v>
      </c>
      <c r="R14" s="12">
        <v>-0.12212546064686147</v>
      </c>
    </row>
    <row r="15" spans="1:18" x14ac:dyDescent="0.2">
      <c r="A15" s="5">
        <v>43470</v>
      </c>
      <c r="B15" s="11">
        <v>88720</v>
      </c>
      <c r="C15" s="11">
        <v>1041</v>
      </c>
      <c r="D15" s="11">
        <v>89761</v>
      </c>
      <c r="F15" s="5">
        <v>44201</v>
      </c>
      <c r="G15" s="11">
        <v>85419</v>
      </c>
      <c r="H15" s="11">
        <v>2930</v>
      </c>
      <c r="I15" s="11">
        <v>88349</v>
      </c>
      <c r="K15" s="5">
        <v>43473</v>
      </c>
      <c r="L15" s="5">
        <v>44201</v>
      </c>
      <c r="M15" s="11">
        <v>-9148</v>
      </c>
      <c r="N15" s="11">
        <v>-995</v>
      </c>
      <c r="O15" s="11">
        <v>-10143</v>
      </c>
      <c r="P15" s="8">
        <v>-9.6735647741812647E-2</v>
      </c>
      <c r="Q15" s="8">
        <v>-0.25350318471337585</v>
      </c>
      <c r="R15" s="12">
        <v>-0.10298298338951384</v>
      </c>
    </row>
    <row r="16" spans="1:18" x14ac:dyDescent="0.2">
      <c r="A16" s="5">
        <v>43471</v>
      </c>
      <c r="B16" s="11">
        <v>68647</v>
      </c>
      <c r="C16" s="11">
        <v>387</v>
      </c>
      <c r="D16" s="11">
        <v>69034</v>
      </c>
      <c r="F16" s="5">
        <v>44202</v>
      </c>
      <c r="G16" s="11">
        <v>85901</v>
      </c>
      <c r="H16" s="11">
        <v>3009</v>
      </c>
      <c r="I16" s="11">
        <v>88910</v>
      </c>
      <c r="K16" s="5">
        <v>43474</v>
      </c>
      <c r="L16" s="5">
        <v>44202</v>
      </c>
      <c r="M16" s="11">
        <v>-7589</v>
      </c>
      <c r="N16" s="11">
        <v>-1146</v>
      </c>
      <c r="O16" s="11">
        <v>-8735</v>
      </c>
      <c r="P16" s="8">
        <v>-8.1174457161193758E-2</v>
      </c>
      <c r="Q16" s="8">
        <v>-0.27581227436823108</v>
      </c>
      <c r="R16" s="12">
        <v>-8.9456705412463533E-2</v>
      </c>
    </row>
    <row r="17" spans="1:18" x14ac:dyDescent="0.2">
      <c r="A17" s="5">
        <v>43472</v>
      </c>
      <c r="B17" s="11">
        <v>93343</v>
      </c>
      <c r="C17" s="11">
        <v>3803</v>
      </c>
      <c r="D17" s="11">
        <v>97146</v>
      </c>
      <c r="F17" s="5">
        <v>44203</v>
      </c>
      <c r="G17" s="11">
        <v>87696</v>
      </c>
      <c r="H17" s="11">
        <v>3103</v>
      </c>
      <c r="I17" s="11">
        <v>90799</v>
      </c>
      <c r="K17" s="5">
        <v>43475</v>
      </c>
      <c r="L17" s="5">
        <v>44203</v>
      </c>
      <c r="M17" s="11">
        <v>-12176</v>
      </c>
      <c r="N17" s="11">
        <v>-1140</v>
      </c>
      <c r="O17" s="11">
        <v>-13316</v>
      </c>
      <c r="P17" s="8">
        <v>-0.12191605254726046</v>
      </c>
      <c r="Q17" s="8">
        <v>-0.2686778222955456</v>
      </c>
      <c r="R17" s="12">
        <v>-0.1278970369303174</v>
      </c>
    </row>
    <row r="18" spans="1:18" x14ac:dyDescent="0.2">
      <c r="A18" s="5">
        <v>43473</v>
      </c>
      <c r="B18" s="11">
        <v>94567</v>
      </c>
      <c r="C18" s="11">
        <v>3925</v>
      </c>
      <c r="D18" s="11">
        <v>98492</v>
      </c>
      <c r="F18" s="5">
        <v>44204</v>
      </c>
      <c r="G18" s="11">
        <v>95031</v>
      </c>
      <c r="H18" s="11">
        <v>2871</v>
      </c>
      <c r="I18" s="11">
        <v>97902</v>
      </c>
      <c r="K18" s="5">
        <v>43476</v>
      </c>
      <c r="L18" s="5">
        <v>44204</v>
      </c>
      <c r="M18" s="11">
        <v>-10954</v>
      </c>
      <c r="N18" s="11">
        <v>-1068</v>
      </c>
      <c r="O18" s="11">
        <v>-12022</v>
      </c>
      <c r="P18" s="8">
        <v>-0.10335424824267581</v>
      </c>
      <c r="Q18" s="8">
        <v>-0.27113480578827109</v>
      </c>
      <c r="R18" s="12">
        <v>-0.10936647138022637</v>
      </c>
    </row>
    <row r="19" spans="1:18" x14ac:dyDescent="0.2">
      <c r="A19" s="5">
        <v>43474</v>
      </c>
      <c r="B19" s="11">
        <v>93490</v>
      </c>
      <c r="C19" s="11">
        <v>4155</v>
      </c>
      <c r="D19" s="11">
        <v>97645</v>
      </c>
      <c r="F19" s="5">
        <v>44205</v>
      </c>
      <c r="G19" s="11">
        <v>78358</v>
      </c>
      <c r="H19" s="11">
        <v>793</v>
      </c>
      <c r="I19" s="11">
        <v>79151</v>
      </c>
      <c r="K19" s="5">
        <v>43477</v>
      </c>
      <c r="L19" s="5">
        <v>44205</v>
      </c>
      <c r="M19" s="11">
        <v>-9960</v>
      </c>
      <c r="N19" s="11">
        <v>-292</v>
      </c>
      <c r="O19" s="11">
        <v>-10252</v>
      </c>
      <c r="P19" s="8">
        <v>-0.11277429289612539</v>
      </c>
      <c r="Q19" s="8">
        <v>-0.26912442396313363</v>
      </c>
      <c r="R19" s="12">
        <v>-0.11467176716664984</v>
      </c>
    </row>
    <row r="20" spans="1:18" x14ac:dyDescent="0.2">
      <c r="A20" s="5">
        <v>43475</v>
      </c>
      <c r="B20" s="11">
        <v>99872</v>
      </c>
      <c r="C20" s="11">
        <v>4243</v>
      </c>
      <c r="D20" s="11">
        <v>104115</v>
      </c>
      <c r="F20" s="5">
        <v>44206</v>
      </c>
      <c r="G20" s="11">
        <v>57691</v>
      </c>
      <c r="H20" s="11">
        <v>227</v>
      </c>
      <c r="I20" s="11">
        <v>57918</v>
      </c>
      <c r="K20" s="5">
        <v>43478</v>
      </c>
      <c r="L20" s="5">
        <v>44206</v>
      </c>
      <c r="M20" s="11">
        <v>-5074</v>
      </c>
      <c r="N20" s="11">
        <v>-139</v>
      </c>
      <c r="O20" s="11">
        <v>-5213</v>
      </c>
      <c r="P20" s="8">
        <v>-8.0841233171353499E-2</v>
      </c>
      <c r="Q20" s="8">
        <v>-0.3797814207650273</v>
      </c>
      <c r="R20" s="12">
        <v>-8.2574329568674609E-2</v>
      </c>
    </row>
    <row r="21" spans="1:18" x14ac:dyDescent="0.2">
      <c r="A21" s="5">
        <v>43476</v>
      </c>
      <c r="B21" s="11">
        <v>105985</v>
      </c>
      <c r="C21" s="11">
        <v>3939</v>
      </c>
      <c r="D21" s="11">
        <v>109924</v>
      </c>
      <c r="F21" s="5">
        <v>44207</v>
      </c>
      <c r="G21" s="11">
        <v>90047</v>
      </c>
      <c r="H21" s="11">
        <v>3868</v>
      </c>
      <c r="I21" s="11">
        <v>93915</v>
      </c>
      <c r="K21" s="5">
        <v>43479</v>
      </c>
      <c r="L21" s="5">
        <v>44207</v>
      </c>
      <c r="M21" s="11">
        <v>-9254</v>
      </c>
      <c r="N21" s="11">
        <v>-538</v>
      </c>
      <c r="O21" s="11">
        <v>-9792</v>
      </c>
      <c r="P21" s="8">
        <v>-9.3191407941511151E-2</v>
      </c>
      <c r="Q21" s="8">
        <v>-0.12210621879255557</v>
      </c>
      <c r="R21" s="12">
        <v>-9.441985594029334E-2</v>
      </c>
    </row>
    <row r="22" spans="1:18" x14ac:dyDescent="0.2">
      <c r="A22" s="5">
        <v>43477</v>
      </c>
      <c r="B22" s="11">
        <v>88318</v>
      </c>
      <c r="C22" s="11">
        <v>1085</v>
      </c>
      <c r="D22" s="11">
        <v>89403</v>
      </c>
      <c r="F22" s="5">
        <v>44208</v>
      </c>
      <c r="G22" s="11">
        <v>80126</v>
      </c>
      <c r="H22" s="11">
        <v>4035</v>
      </c>
      <c r="I22" s="11">
        <v>84161</v>
      </c>
      <c r="K22" s="5">
        <v>43480</v>
      </c>
      <c r="L22" s="5">
        <v>44208</v>
      </c>
      <c r="M22" s="11">
        <v>-23167</v>
      </c>
      <c r="N22" s="11">
        <v>-855</v>
      </c>
      <c r="O22" s="11">
        <v>-24022</v>
      </c>
      <c r="P22" s="8">
        <v>-0.22428431742712474</v>
      </c>
      <c r="Q22" s="8">
        <v>-0.17484662576687116</v>
      </c>
      <c r="R22" s="12">
        <v>-0.22204967508758311</v>
      </c>
    </row>
    <row r="23" spans="1:18" x14ac:dyDescent="0.2">
      <c r="A23" s="5">
        <v>43478</v>
      </c>
      <c r="B23" s="11">
        <v>62765</v>
      </c>
      <c r="C23" s="11">
        <v>366</v>
      </c>
      <c r="D23" s="11">
        <v>63131</v>
      </c>
      <c r="F23" s="5">
        <v>44209</v>
      </c>
      <c r="G23" s="11">
        <v>83854</v>
      </c>
      <c r="H23" s="11">
        <v>4013</v>
      </c>
      <c r="I23" s="11">
        <v>87867</v>
      </c>
      <c r="K23" s="5">
        <v>43481</v>
      </c>
      <c r="L23" s="5">
        <v>44209</v>
      </c>
      <c r="M23" s="11">
        <v>-21378</v>
      </c>
      <c r="N23" s="11">
        <v>-884</v>
      </c>
      <c r="O23" s="11">
        <v>-22262</v>
      </c>
      <c r="P23" s="8">
        <v>-0.20315113273528962</v>
      </c>
      <c r="Q23" s="8">
        <v>-0.18051868490912804</v>
      </c>
      <c r="R23" s="12">
        <v>-0.2021447575116454</v>
      </c>
    </row>
    <row r="24" spans="1:18" x14ac:dyDescent="0.2">
      <c r="A24" s="5">
        <v>43479</v>
      </c>
      <c r="B24" s="11">
        <v>99301</v>
      </c>
      <c r="C24" s="11">
        <v>4406</v>
      </c>
      <c r="D24" s="11">
        <v>103707</v>
      </c>
      <c r="F24" s="5">
        <v>44210</v>
      </c>
      <c r="G24" s="11">
        <v>91621</v>
      </c>
      <c r="H24" s="11">
        <v>4348</v>
      </c>
      <c r="I24" s="11">
        <v>95969</v>
      </c>
      <c r="K24" s="5">
        <v>43482</v>
      </c>
      <c r="L24" s="5">
        <v>44210</v>
      </c>
      <c r="M24" s="11">
        <v>-13239</v>
      </c>
      <c r="N24" s="11">
        <v>-604</v>
      </c>
      <c r="O24" s="11">
        <v>-13843</v>
      </c>
      <c r="P24" s="8">
        <v>-0.12625405302307835</v>
      </c>
      <c r="Q24" s="8">
        <v>-0.12197092084006467</v>
      </c>
      <c r="R24" s="12">
        <v>-0.12606090409062765</v>
      </c>
    </row>
    <row r="25" spans="1:18" x14ac:dyDescent="0.2">
      <c r="A25" s="5">
        <v>43480</v>
      </c>
      <c r="B25" s="11">
        <v>103293</v>
      </c>
      <c r="C25" s="11">
        <v>4890</v>
      </c>
      <c r="D25" s="11">
        <v>108183</v>
      </c>
      <c r="F25" s="5">
        <v>44211</v>
      </c>
      <c r="G25" s="11">
        <v>100510</v>
      </c>
      <c r="H25" s="11">
        <v>3842</v>
      </c>
      <c r="I25" s="11">
        <v>104352</v>
      </c>
      <c r="K25" s="5">
        <v>43483</v>
      </c>
      <c r="L25" s="5">
        <v>44211</v>
      </c>
      <c r="M25" s="11">
        <v>-12541</v>
      </c>
      <c r="N25" s="11">
        <v>-548</v>
      </c>
      <c r="O25" s="11">
        <v>-13089</v>
      </c>
      <c r="P25" s="8">
        <v>-0.11093223412442177</v>
      </c>
      <c r="Q25" s="8">
        <v>-0.12482915717539866</v>
      </c>
      <c r="R25" s="12">
        <v>-0.11145170766597701</v>
      </c>
    </row>
    <row r="26" spans="1:18" x14ac:dyDescent="0.2">
      <c r="A26" s="5">
        <v>43481</v>
      </c>
      <c r="B26" s="11">
        <v>105232</v>
      </c>
      <c r="C26" s="11">
        <v>4897</v>
      </c>
      <c r="D26" s="11">
        <v>110129</v>
      </c>
      <c r="F26" s="5">
        <v>44212</v>
      </c>
      <c r="G26" s="11">
        <v>79178</v>
      </c>
      <c r="H26" s="11">
        <v>868</v>
      </c>
      <c r="I26" s="11">
        <v>80046</v>
      </c>
      <c r="K26" s="5">
        <v>43484</v>
      </c>
      <c r="L26" s="5">
        <v>44212</v>
      </c>
      <c r="M26" s="11">
        <v>-12483</v>
      </c>
      <c r="N26" s="11">
        <v>-327</v>
      </c>
      <c r="O26" s="11">
        <v>-12810</v>
      </c>
      <c r="P26" s="8">
        <v>-0.13618660062622057</v>
      </c>
      <c r="Q26" s="8">
        <v>-0.27364016736401675</v>
      </c>
      <c r="R26" s="12">
        <v>-0.13795554406823474</v>
      </c>
    </row>
    <row r="27" spans="1:18" x14ac:dyDescent="0.2">
      <c r="A27" s="5">
        <v>43482</v>
      </c>
      <c r="B27" s="11">
        <v>104860</v>
      </c>
      <c r="C27" s="11">
        <v>4952</v>
      </c>
      <c r="D27" s="11">
        <v>109812</v>
      </c>
      <c r="F27" s="5">
        <v>44213</v>
      </c>
      <c r="G27" s="11">
        <v>48502</v>
      </c>
      <c r="H27" s="11">
        <v>297</v>
      </c>
      <c r="I27" s="11">
        <v>48799</v>
      </c>
      <c r="K27" s="5">
        <v>43485</v>
      </c>
      <c r="L27" s="5">
        <v>44213</v>
      </c>
      <c r="M27" s="11">
        <v>-22267</v>
      </c>
      <c r="N27" s="11">
        <v>-106</v>
      </c>
      <c r="O27" s="11">
        <v>-22373</v>
      </c>
      <c r="P27" s="8">
        <v>-0.31464341731549128</v>
      </c>
      <c r="Q27" s="8">
        <v>-0.26302729528535984</v>
      </c>
      <c r="R27" s="12">
        <v>-0.31435114932838759</v>
      </c>
    </row>
    <row r="28" spans="1:18" x14ac:dyDescent="0.2">
      <c r="A28" s="5">
        <v>43483</v>
      </c>
      <c r="B28" s="11">
        <v>113051</v>
      </c>
      <c r="C28" s="11">
        <v>4390</v>
      </c>
      <c r="D28" s="11">
        <v>117441</v>
      </c>
      <c r="F28" s="5">
        <v>44214</v>
      </c>
      <c r="G28" s="11">
        <v>83816</v>
      </c>
      <c r="H28" s="11">
        <v>4259</v>
      </c>
      <c r="I28" s="11">
        <v>88075</v>
      </c>
      <c r="K28" s="5">
        <v>43486</v>
      </c>
      <c r="L28" s="5">
        <v>44214</v>
      </c>
      <c r="M28" s="11">
        <v>-18103</v>
      </c>
      <c r="N28" s="11">
        <v>-396</v>
      </c>
      <c r="O28" s="11">
        <v>-18499</v>
      </c>
      <c r="P28" s="8">
        <v>-0.17762144448042072</v>
      </c>
      <c r="Q28" s="8">
        <v>-8.5069817400644454E-2</v>
      </c>
      <c r="R28" s="12">
        <v>-0.17357892168821665</v>
      </c>
    </row>
    <row r="29" spans="1:18" x14ac:dyDescent="0.2">
      <c r="A29" s="5">
        <v>43484</v>
      </c>
      <c r="B29" s="11">
        <v>91661</v>
      </c>
      <c r="C29" s="11">
        <v>1195</v>
      </c>
      <c r="D29" s="11">
        <v>92856</v>
      </c>
      <c r="F29" s="5">
        <v>44215</v>
      </c>
      <c r="G29" s="11">
        <v>85432</v>
      </c>
      <c r="H29" s="11">
        <v>4432</v>
      </c>
      <c r="I29" s="11">
        <v>89864</v>
      </c>
      <c r="K29" s="5">
        <v>43487</v>
      </c>
      <c r="L29" s="5">
        <v>44215</v>
      </c>
      <c r="M29" s="11">
        <v>-18289</v>
      </c>
      <c r="N29" s="11">
        <v>-412</v>
      </c>
      <c r="O29" s="11">
        <v>-18701</v>
      </c>
      <c r="P29" s="8">
        <v>-0.17632880515999649</v>
      </c>
      <c r="Q29" s="8">
        <v>-8.5053674649050337E-2</v>
      </c>
      <c r="R29" s="12">
        <v>-0.1722562520149219</v>
      </c>
    </row>
    <row r="30" spans="1:18" x14ac:dyDescent="0.2">
      <c r="A30" s="5">
        <v>43485</v>
      </c>
      <c r="B30" s="11">
        <v>70769</v>
      </c>
      <c r="C30" s="11">
        <v>403</v>
      </c>
      <c r="D30" s="11">
        <v>71172</v>
      </c>
      <c r="F30" s="5">
        <v>44216</v>
      </c>
      <c r="G30" s="11">
        <v>87358</v>
      </c>
      <c r="H30" s="11">
        <v>4582</v>
      </c>
      <c r="I30" s="11">
        <v>91940</v>
      </c>
      <c r="K30" s="5">
        <v>43488</v>
      </c>
      <c r="L30" s="5">
        <v>44216</v>
      </c>
      <c r="M30" s="11">
        <v>-12542</v>
      </c>
      <c r="N30" s="11">
        <v>-334</v>
      </c>
      <c r="O30" s="11">
        <v>-12876</v>
      </c>
      <c r="P30" s="8">
        <v>-0.12554554554554553</v>
      </c>
      <c r="Q30" s="8">
        <v>-6.7941415785191195E-2</v>
      </c>
      <c r="R30" s="12">
        <v>-0.12284384063501752</v>
      </c>
    </row>
    <row r="31" spans="1:18" x14ac:dyDescent="0.2">
      <c r="A31" s="5">
        <v>43486</v>
      </c>
      <c r="B31" s="11">
        <v>101919</v>
      </c>
      <c r="C31" s="11">
        <v>4655</v>
      </c>
      <c r="D31" s="11">
        <v>106574</v>
      </c>
      <c r="F31" s="5">
        <v>44217</v>
      </c>
      <c r="G31" s="11">
        <v>86941</v>
      </c>
      <c r="H31" s="11">
        <v>4486</v>
      </c>
      <c r="I31" s="11">
        <v>91427</v>
      </c>
      <c r="K31" s="5">
        <v>43489</v>
      </c>
      <c r="L31" s="5">
        <v>44217</v>
      </c>
      <c r="M31" s="11">
        <v>-19514</v>
      </c>
      <c r="N31" s="11">
        <v>-506</v>
      </c>
      <c r="O31" s="11">
        <v>-20020</v>
      </c>
      <c r="P31" s="8">
        <v>-0.18330750082194358</v>
      </c>
      <c r="Q31" s="8">
        <v>-0.10136217948717952</v>
      </c>
      <c r="R31" s="12">
        <v>-0.17963695747754538</v>
      </c>
    </row>
    <row r="32" spans="1:18" x14ac:dyDescent="0.2">
      <c r="A32" s="5">
        <v>43487</v>
      </c>
      <c r="B32" s="11">
        <v>103721</v>
      </c>
      <c r="C32" s="11">
        <v>4844</v>
      </c>
      <c r="D32" s="11">
        <v>108565</v>
      </c>
      <c r="F32" s="5">
        <v>44218</v>
      </c>
      <c r="G32" s="11">
        <v>92893</v>
      </c>
      <c r="H32" s="11">
        <v>3998</v>
      </c>
      <c r="I32" s="11">
        <v>96891</v>
      </c>
      <c r="K32" s="5">
        <v>43490</v>
      </c>
      <c r="L32" s="5">
        <v>44218</v>
      </c>
      <c r="M32" s="11">
        <v>-22017</v>
      </c>
      <c r="N32" s="11">
        <v>-666</v>
      </c>
      <c r="O32" s="11">
        <v>-22683</v>
      </c>
      <c r="P32" s="8">
        <v>-0.19160212340092242</v>
      </c>
      <c r="Q32" s="8">
        <v>-0.14279588336192106</v>
      </c>
      <c r="R32" s="12">
        <v>-0.1896984294244568</v>
      </c>
    </row>
    <row r="33" spans="1:18" x14ac:dyDescent="0.2">
      <c r="A33" s="5">
        <v>43488</v>
      </c>
      <c r="B33" s="11">
        <v>99900</v>
      </c>
      <c r="C33" s="11">
        <v>4916</v>
      </c>
      <c r="D33" s="11">
        <v>104816</v>
      </c>
      <c r="F33" s="5">
        <v>44219</v>
      </c>
      <c r="G33" s="11">
        <v>63514</v>
      </c>
      <c r="H33" s="11">
        <v>822</v>
      </c>
      <c r="I33" s="11">
        <v>64336</v>
      </c>
      <c r="K33" s="5">
        <v>43491</v>
      </c>
      <c r="L33" s="5">
        <v>44219</v>
      </c>
      <c r="M33" s="11">
        <v>-32029</v>
      </c>
      <c r="N33" s="11">
        <v>-453</v>
      </c>
      <c r="O33" s="11">
        <v>-32482</v>
      </c>
      <c r="P33" s="8">
        <v>-0.33523125713029733</v>
      </c>
      <c r="Q33" s="8">
        <v>-0.35529411764705887</v>
      </c>
      <c r="R33" s="12">
        <v>-0.33549546571918443</v>
      </c>
    </row>
    <row r="34" spans="1:18" x14ac:dyDescent="0.2">
      <c r="A34" s="5">
        <v>43489</v>
      </c>
      <c r="B34" s="11">
        <v>106455</v>
      </c>
      <c r="C34" s="11">
        <v>4992</v>
      </c>
      <c r="D34" s="11">
        <v>111447</v>
      </c>
      <c r="F34" s="5">
        <v>44220</v>
      </c>
      <c r="G34" s="11">
        <v>60986</v>
      </c>
      <c r="H34" s="11">
        <v>225</v>
      </c>
      <c r="I34" s="11">
        <v>61211</v>
      </c>
      <c r="K34" s="5">
        <v>43492</v>
      </c>
      <c r="L34" s="5">
        <v>44220</v>
      </c>
      <c r="M34" s="11">
        <v>-9354</v>
      </c>
      <c r="N34" s="11">
        <v>-154</v>
      </c>
      <c r="O34" s="11">
        <v>-9508</v>
      </c>
      <c r="P34" s="8">
        <v>-0.13298265567244816</v>
      </c>
      <c r="Q34" s="8">
        <v>-0.40633245382585748</v>
      </c>
      <c r="R34" s="12">
        <v>-0.13444760248306675</v>
      </c>
    </row>
    <row r="35" spans="1:18" x14ac:dyDescent="0.2">
      <c r="A35" s="5">
        <v>43490</v>
      </c>
      <c r="B35" s="11">
        <v>114910</v>
      </c>
      <c r="C35" s="11">
        <v>4664</v>
      </c>
      <c r="D35" s="11">
        <v>119574</v>
      </c>
      <c r="F35" s="5">
        <v>44221</v>
      </c>
      <c r="G35" s="11">
        <v>77735</v>
      </c>
      <c r="H35" s="11">
        <v>4069</v>
      </c>
      <c r="I35" s="11">
        <v>81804</v>
      </c>
      <c r="K35" s="5">
        <v>43493</v>
      </c>
      <c r="L35" s="5">
        <v>44221</v>
      </c>
      <c r="M35" s="11">
        <f>G35-B38</f>
        <v>-21536</v>
      </c>
      <c r="N35" s="11">
        <f t="shared" ref="N35:O41" si="0">H35-C38</f>
        <v>-805</v>
      </c>
      <c r="O35" s="11">
        <f t="shared" si="0"/>
        <v>-22341</v>
      </c>
      <c r="P35" s="8">
        <f>G35/B38-1</f>
        <v>-0.21694150356095943</v>
      </c>
      <c r="Q35" s="8">
        <f t="shared" ref="Q35:R41" si="1">H35/C38-1</f>
        <v>-0.16516208453016001</v>
      </c>
      <c r="R35" s="12">
        <f t="shared" si="1"/>
        <v>-0.2145182197897163</v>
      </c>
    </row>
    <row r="36" spans="1:18" x14ac:dyDescent="0.2">
      <c r="A36" s="5">
        <v>43491</v>
      </c>
      <c r="B36" s="11">
        <v>95543</v>
      </c>
      <c r="C36" s="11">
        <v>1275</v>
      </c>
      <c r="D36" s="11">
        <v>96818</v>
      </c>
      <c r="F36" s="5">
        <v>44222</v>
      </c>
      <c r="G36" s="11">
        <v>87396</v>
      </c>
      <c r="H36" s="11">
        <v>4337</v>
      </c>
      <c r="I36" s="11">
        <v>91733</v>
      </c>
      <c r="K36" s="5">
        <v>43494</v>
      </c>
      <c r="L36" s="5">
        <v>44222</v>
      </c>
      <c r="M36" s="11">
        <f t="shared" ref="M36:M41" si="2">G36-B39</f>
        <v>-12998</v>
      </c>
      <c r="N36" s="11">
        <f t="shared" si="0"/>
        <v>-461</v>
      </c>
      <c r="O36" s="11">
        <f t="shared" si="0"/>
        <v>-13459</v>
      </c>
      <c r="P36" s="8">
        <f t="shared" ref="P36:P41" si="3">G36/B39-1</f>
        <v>-0.1294698886387633</v>
      </c>
      <c r="Q36" s="8">
        <f t="shared" si="1"/>
        <v>-9.6081700708628648E-2</v>
      </c>
      <c r="R36" s="12">
        <f t="shared" si="1"/>
        <v>-0.12794699216670469</v>
      </c>
    </row>
    <row r="37" spans="1:18" x14ac:dyDescent="0.2">
      <c r="A37" s="5">
        <v>43492</v>
      </c>
      <c r="B37" s="11">
        <v>70340</v>
      </c>
      <c r="C37" s="11">
        <v>379</v>
      </c>
      <c r="D37" s="11">
        <v>70719</v>
      </c>
      <c r="F37" s="5">
        <v>44223</v>
      </c>
      <c r="G37" s="11">
        <v>86367</v>
      </c>
      <c r="H37" s="11">
        <v>4538</v>
      </c>
      <c r="I37" s="11">
        <v>90905</v>
      </c>
      <c r="K37" s="5">
        <v>43495</v>
      </c>
      <c r="L37" s="5">
        <v>44223</v>
      </c>
      <c r="M37" s="11">
        <f t="shared" si="2"/>
        <v>-12578</v>
      </c>
      <c r="N37" s="11">
        <f t="shared" si="0"/>
        <v>-157</v>
      </c>
      <c r="O37" s="11">
        <f t="shared" si="0"/>
        <v>-12735</v>
      </c>
      <c r="P37" s="8">
        <f t="shared" si="3"/>
        <v>-0.12712112789933805</v>
      </c>
      <c r="Q37" s="8">
        <f t="shared" si="1"/>
        <v>-3.3439829605963811E-2</v>
      </c>
      <c r="R37" s="12">
        <f t="shared" si="1"/>
        <v>-0.1228772674642995</v>
      </c>
    </row>
    <row r="38" spans="1:18" x14ac:dyDescent="0.2">
      <c r="A38" s="5">
        <v>43493</v>
      </c>
      <c r="B38" s="11">
        <v>99271</v>
      </c>
      <c r="C38" s="11">
        <v>4874</v>
      </c>
      <c r="D38" s="11">
        <v>104145</v>
      </c>
      <c r="F38" s="5">
        <v>44224</v>
      </c>
      <c r="G38" s="11">
        <v>87052</v>
      </c>
      <c r="H38" s="11">
        <v>4433</v>
      </c>
      <c r="I38" s="11">
        <v>91485</v>
      </c>
      <c r="K38" s="5">
        <v>43496</v>
      </c>
      <c r="L38" s="5">
        <v>44224</v>
      </c>
      <c r="M38" s="11">
        <f t="shared" si="2"/>
        <v>-15531</v>
      </c>
      <c r="N38" s="11">
        <f t="shared" si="0"/>
        <v>-426</v>
      </c>
      <c r="O38" s="11">
        <f t="shared" si="0"/>
        <v>-15957</v>
      </c>
      <c r="P38" s="8">
        <f t="shared" si="3"/>
        <v>-0.15139935466890231</v>
      </c>
      <c r="Q38" s="8">
        <f t="shared" si="1"/>
        <v>-8.7672360568018082E-2</v>
      </c>
      <c r="R38" s="12">
        <f t="shared" si="1"/>
        <v>-0.14851733958787061</v>
      </c>
    </row>
    <row r="39" spans="1:18" x14ac:dyDescent="0.2">
      <c r="A39" s="5">
        <v>43494</v>
      </c>
      <c r="B39" s="11">
        <v>100394</v>
      </c>
      <c r="C39" s="11">
        <v>4798</v>
      </c>
      <c r="D39" s="11">
        <v>105192</v>
      </c>
      <c r="F39" s="5">
        <v>44225</v>
      </c>
      <c r="G39" s="11">
        <v>93128</v>
      </c>
      <c r="H39" s="11">
        <v>3846</v>
      </c>
      <c r="I39" s="11">
        <v>96974</v>
      </c>
      <c r="K39" s="5">
        <v>43497</v>
      </c>
      <c r="L39" s="5">
        <v>44225</v>
      </c>
      <c r="M39" s="11">
        <f t="shared" si="2"/>
        <v>-8771</v>
      </c>
      <c r="N39" s="11">
        <f t="shared" si="0"/>
        <v>-495</v>
      </c>
      <c r="O39" s="11">
        <f t="shared" si="0"/>
        <v>-9266</v>
      </c>
      <c r="P39" s="8">
        <f t="shared" si="3"/>
        <v>-8.607542762931919E-2</v>
      </c>
      <c r="Q39" s="8">
        <f t="shared" si="1"/>
        <v>-0.11402902557014516</v>
      </c>
      <c r="R39" s="12">
        <f t="shared" si="1"/>
        <v>-8.7217620481927716E-2</v>
      </c>
    </row>
    <row r="40" spans="1:18" x14ac:dyDescent="0.2">
      <c r="A40" s="5">
        <v>43495</v>
      </c>
      <c r="B40" s="11">
        <v>98945</v>
      </c>
      <c r="C40" s="11">
        <v>4695</v>
      </c>
      <c r="D40" s="11">
        <v>103640</v>
      </c>
      <c r="F40" s="5">
        <v>44226</v>
      </c>
      <c r="G40" s="11">
        <v>66233</v>
      </c>
      <c r="H40" s="11">
        <v>829</v>
      </c>
      <c r="I40" s="11">
        <v>67062</v>
      </c>
      <c r="K40" s="5">
        <v>43498</v>
      </c>
      <c r="L40" s="5">
        <v>44226</v>
      </c>
      <c r="M40" s="11">
        <f t="shared" si="2"/>
        <v>-24995</v>
      </c>
      <c r="N40" s="11">
        <f t="shared" si="0"/>
        <v>-443</v>
      </c>
      <c r="O40" s="11">
        <f t="shared" si="0"/>
        <v>-25438</v>
      </c>
      <c r="P40" s="8">
        <f t="shared" si="3"/>
        <v>-0.27398386460297275</v>
      </c>
      <c r="Q40" s="8">
        <f t="shared" si="1"/>
        <v>-0.34827044025157228</v>
      </c>
      <c r="R40" s="12">
        <f t="shared" si="1"/>
        <v>-0.27500540540540541</v>
      </c>
    </row>
    <row r="41" spans="1:18" x14ac:dyDescent="0.2">
      <c r="A41" s="5">
        <v>43496</v>
      </c>
      <c r="B41" s="11">
        <v>102583</v>
      </c>
      <c r="C41" s="11">
        <v>4859</v>
      </c>
      <c r="D41" s="11">
        <v>107442</v>
      </c>
      <c r="F41" s="5">
        <v>44227</v>
      </c>
      <c r="G41" s="11">
        <v>59270</v>
      </c>
      <c r="H41" s="11">
        <v>231</v>
      </c>
      <c r="I41" s="11">
        <v>59501</v>
      </c>
      <c r="K41" s="5">
        <v>43499</v>
      </c>
      <c r="L41" s="5">
        <v>44227</v>
      </c>
      <c r="M41" s="11">
        <f t="shared" si="2"/>
        <v>-7849</v>
      </c>
      <c r="N41" s="11">
        <f t="shared" si="0"/>
        <v>-139</v>
      </c>
      <c r="O41" s="11">
        <f t="shared" si="0"/>
        <v>-7988</v>
      </c>
      <c r="P41" s="8">
        <f t="shared" si="3"/>
        <v>-0.11694155157258002</v>
      </c>
      <c r="Q41" s="8">
        <f t="shared" si="1"/>
        <v>-0.37567567567567572</v>
      </c>
      <c r="R41" s="12">
        <f t="shared" si="1"/>
        <v>-0.11836002904176979</v>
      </c>
    </row>
    <row r="42" spans="1:18" x14ac:dyDescent="0.2">
      <c r="A42" s="5">
        <v>43497</v>
      </c>
      <c r="B42" s="11">
        <v>101899</v>
      </c>
      <c r="C42" s="11">
        <v>4341</v>
      </c>
      <c r="D42" s="11">
        <v>106240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">
      <c r="A43" s="5">
        <v>43498</v>
      </c>
      <c r="B43" s="11">
        <v>91228</v>
      </c>
      <c r="C43" s="11">
        <v>1272</v>
      </c>
      <c r="D43" s="11">
        <v>92500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">
      <c r="A44" s="5">
        <v>43499</v>
      </c>
      <c r="B44" s="11">
        <v>67119</v>
      </c>
      <c r="C44" s="11">
        <v>370</v>
      </c>
      <c r="D44" s="11">
        <v>67489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">
      <c r="A45" s="5"/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3" t="s">
        <v>39</v>
      </c>
      <c r="B47" s="6"/>
      <c r="C47" s="6"/>
      <c r="D47" s="3"/>
      <c r="F47" s="23" t="s">
        <v>39</v>
      </c>
      <c r="G47" s="6"/>
      <c r="H47" s="6"/>
      <c r="I47" s="3"/>
      <c r="K47" s="23" t="s">
        <v>40</v>
      </c>
      <c r="L47" s="23"/>
      <c r="M47" s="6"/>
      <c r="N47" s="6"/>
      <c r="O47" s="3"/>
      <c r="P47" s="6"/>
      <c r="Q47" s="6"/>
      <c r="R47" s="3"/>
    </row>
    <row r="48" spans="1:18" ht="26.45" customHeight="1" x14ac:dyDescent="0.2">
      <c r="A48" s="24"/>
      <c r="B48" s="7" t="s">
        <v>38</v>
      </c>
      <c r="C48" s="4" t="s">
        <v>2</v>
      </c>
      <c r="D48" s="4" t="s">
        <v>0</v>
      </c>
      <c r="F48" s="24"/>
      <c r="G48" s="7" t="s">
        <v>38</v>
      </c>
      <c r="H48" s="4" t="s">
        <v>2</v>
      </c>
      <c r="I48" s="4" t="s">
        <v>0</v>
      </c>
      <c r="K48" s="24"/>
      <c r="L48" s="24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2">
      <c r="A49" s="5">
        <v>43466</v>
      </c>
      <c r="B49" s="11">
        <v>27777</v>
      </c>
      <c r="C49" s="11">
        <v>116</v>
      </c>
      <c r="D49" s="11">
        <v>27893</v>
      </c>
      <c r="F49" s="5">
        <v>44197</v>
      </c>
      <c r="G49" s="11">
        <v>20929</v>
      </c>
      <c r="H49" s="11">
        <v>65</v>
      </c>
      <c r="I49" s="11">
        <v>20994</v>
      </c>
      <c r="K49" s="5">
        <v>43469</v>
      </c>
      <c r="L49" s="5">
        <v>44197</v>
      </c>
      <c r="M49" s="11">
        <v>-27210</v>
      </c>
      <c r="N49" s="11">
        <v>-1456</v>
      </c>
      <c r="O49" s="11">
        <v>-28666</v>
      </c>
      <c r="P49" s="8">
        <v>-0.5652381644820208</v>
      </c>
      <c r="Q49" s="8">
        <v>-0.95726495726495731</v>
      </c>
      <c r="R49" s="12">
        <v>-0.57724526782118413</v>
      </c>
    </row>
    <row r="50" spans="1:18" x14ac:dyDescent="0.2">
      <c r="A50" s="5">
        <v>43467</v>
      </c>
      <c r="B50" s="11">
        <v>34228</v>
      </c>
      <c r="C50" s="11">
        <v>404</v>
      </c>
      <c r="D50" s="11">
        <v>34632</v>
      </c>
      <c r="F50" s="5">
        <v>44198</v>
      </c>
      <c r="G50" s="11">
        <v>31614</v>
      </c>
      <c r="H50" s="11">
        <v>216</v>
      </c>
      <c r="I50" s="11">
        <v>31830</v>
      </c>
      <c r="K50" s="5">
        <v>43470</v>
      </c>
      <c r="L50" s="5">
        <v>44198</v>
      </c>
      <c r="M50" s="11">
        <v>-14582</v>
      </c>
      <c r="N50" s="11">
        <v>-352</v>
      </c>
      <c r="O50" s="11">
        <v>-14934</v>
      </c>
      <c r="P50" s="8">
        <v>-0.31565503506797121</v>
      </c>
      <c r="Q50" s="8">
        <v>-0.61971830985915499</v>
      </c>
      <c r="R50" s="12">
        <v>-0.31934821657685397</v>
      </c>
    </row>
    <row r="51" spans="1:18" x14ac:dyDescent="0.2">
      <c r="A51" s="5">
        <v>43468</v>
      </c>
      <c r="B51" s="11">
        <v>46011</v>
      </c>
      <c r="C51" s="11">
        <v>1502</v>
      </c>
      <c r="D51" s="11">
        <v>47513</v>
      </c>
      <c r="F51" s="5">
        <v>44199</v>
      </c>
      <c r="G51" s="11">
        <v>28914</v>
      </c>
      <c r="H51" s="11">
        <v>126</v>
      </c>
      <c r="I51" s="11">
        <v>29040</v>
      </c>
      <c r="K51" s="5">
        <v>43471</v>
      </c>
      <c r="L51" s="5">
        <v>44199</v>
      </c>
      <c r="M51" s="11">
        <v>-5957</v>
      </c>
      <c r="N51" s="11">
        <v>-97</v>
      </c>
      <c r="O51" s="11">
        <v>-6054</v>
      </c>
      <c r="P51" s="8">
        <v>-0.1708296292047834</v>
      </c>
      <c r="Q51" s="8">
        <v>-0.43497757847533636</v>
      </c>
      <c r="R51" s="12">
        <v>-0.17250812104633273</v>
      </c>
    </row>
    <row r="52" spans="1:18" x14ac:dyDescent="0.2">
      <c r="A52" s="5">
        <v>43469</v>
      </c>
      <c r="B52" s="11">
        <v>48139</v>
      </c>
      <c r="C52" s="11">
        <v>1521</v>
      </c>
      <c r="D52" s="11">
        <v>49660</v>
      </c>
      <c r="F52" s="5">
        <v>44200</v>
      </c>
      <c r="G52" s="11">
        <v>43028</v>
      </c>
      <c r="H52" s="11">
        <v>1261</v>
      </c>
      <c r="I52" s="11">
        <v>44289</v>
      </c>
      <c r="K52" s="5">
        <v>43472</v>
      </c>
      <c r="L52" s="5">
        <v>44200</v>
      </c>
      <c r="M52" s="11">
        <v>-4682</v>
      </c>
      <c r="N52" s="11">
        <v>-710</v>
      </c>
      <c r="O52" s="11">
        <v>-5392</v>
      </c>
      <c r="P52" s="8">
        <v>-9.8134562984699247E-2</v>
      </c>
      <c r="Q52" s="8">
        <v>-0.36022323693556568</v>
      </c>
      <c r="R52" s="12">
        <v>-0.10853243694772652</v>
      </c>
    </row>
    <row r="53" spans="1:18" x14ac:dyDescent="0.2">
      <c r="A53" s="5">
        <v>43470</v>
      </c>
      <c r="B53" s="11">
        <v>46196</v>
      </c>
      <c r="C53" s="11">
        <v>568</v>
      </c>
      <c r="D53" s="11">
        <v>46764</v>
      </c>
      <c r="F53" s="5">
        <v>44201</v>
      </c>
      <c r="G53" s="11">
        <v>44514</v>
      </c>
      <c r="H53" s="11">
        <v>1541</v>
      </c>
      <c r="I53" s="11">
        <v>46055</v>
      </c>
      <c r="K53" s="5">
        <v>43473</v>
      </c>
      <c r="L53" s="5">
        <v>44201</v>
      </c>
      <c r="M53" s="11">
        <v>-4281</v>
      </c>
      <c r="N53" s="11">
        <v>-521</v>
      </c>
      <c r="O53" s="11">
        <v>-4802</v>
      </c>
      <c r="P53" s="8">
        <v>-8.7734399016292652E-2</v>
      </c>
      <c r="Q53" s="8">
        <v>-0.25266731328806979</v>
      </c>
      <c r="R53" s="12">
        <v>-9.4421613543858252E-2</v>
      </c>
    </row>
    <row r="54" spans="1:18" x14ac:dyDescent="0.2">
      <c r="A54" s="5">
        <v>43471</v>
      </c>
      <c r="B54" s="11">
        <v>34871</v>
      </c>
      <c r="C54" s="11">
        <v>223</v>
      </c>
      <c r="D54" s="11">
        <v>35094</v>
      </c>
      <c r="F54" s="5">
        <v>44202</v>
      </c>
      <c r="G54" s="11">
        <v>44359</v>
      </c>
      <c r="H54" s="11">
        <v>1586</v>
      </c>
      <c r="I54" s="11">
        <v>45945</v>
      </c>
      <c r="K54" s="5">
        <v>43474</v>
      </c>
      <c r="L54" s="5">
        <v>44202</v>
      </c>
      <c r="M54" s="11">
        <v>-3874</v>
      </c>
      <c r="N54" s="11">
        <v>-625</v>
      </c>
      <c r="O54" s="11">
        <v>-4499</v>
      </c>
      <c r="P54" s="8">
        <v>-8.0318454170381304E-2</v>
      </c>
      <c r="Q54" s="8">
        <v>-0.28267752148349168</v>
      </c>
      <c r="R54" s="12">
        <v>-8.9188010467052603E-2</v>
      </c>
    </row>
    <row r="55" spans="1:18" x14ac:dyDescent="0.2">
      <c r="A55" s="5">
        <v>43472</v>
      </c>
      <c r="B55" s="11">
        <v>47710</v>
      </c>
      <c r="C55" s="11">
        <v>1971</v>
      </c>
      <c r="D55" s="11">
        <v>49681</v>
      </c>
      <c r="F55" s="5">
        <v>44203</v>
      </c>
      <c r="G55" s="11">
        <v>45423</v>
      </c>
      <c r="H55" s="11">
        <v>1661</v>
      </c>
      <c r="I55" s="11">
        <v>47084</v>
      </c>
      <c r="K55" s="5">
        <v>43475</v>
      </c>
      <c r="L55" s="5">
        <v>44203</v>
      </c>
      <c r="M55" s="11">
        <v>-6317</v>
      </c>
      <c r="N55" s="11">
        <v>-587</v>
      </c>
      <c r="O55" s="11">
        <v>-6904</v>
      </c>
      <c r="P55" s="8">
        <v>-0.12209122535755701</v>
      </c>
      <c r="Q55" s="8">
        <v>-0.26112099644128117</v>
      </c>
      <c r="R55" s="12">
        <v>-0.12788026968956068</v>
      </c>
    </row>
    <row r="56" spans="1:18" x14ac:dyDescent="0.2">
      <c r="A56" s="5">
        <v>43473</v>
      </c>
      <c r="B56" s="11">
        <v>48795</v>
      </c>
      <c r="C56" s="11">
        <v>2062</v>
      </c>
      <c r="D56" s="11">
        <v>50857</v>
      </c>
      <c r="F56" s="5">
        <v>44204</v>
      </c>
      <c r="G56" s="11">
        <v>49821</v>
      </c>
      <c r="H56" s="11">
        <v>1533</v>
      </c>
      <c r="I56" s="11">
        <v>51354</v>
      </c>
      <c r="K56" s="5">
        <v>43476</v>
      </c>
      <c r="L56" s="5">
        <v>44204</v>
      </c>
      <c r="M56" s="11">
        <v>-6855</v>
      </c>
      <c r="N56" s="11">
        <v>-605</v>
      </c>
      <c r="O56" s="11">
        <v>-7460</v>
      </c>
      <c r="P56" s="8">
        <v>-0.12095066694897316</v>
      </c>
      <c r="Q56" s="8">
        <v>-0.28297474275023382</v>
      </c>
      <c r="R56" s="12">
        <v>-0.1268405481688033</v>
      </c>
    </row>
    <row r="57" spans="1:18" x14ac:dyDescent="0.2">
      <c r="A57" s="5">
        <v>43474</v>
      </c>
      <c r="B57" s="11">
        <v>48233</v>
      </c>
      <c r="C57" s="11">
        <v>2211</v>
      </c>
      <c r="D57" s="11">
        <v>50444</v>
      </c>
      <c r="F57" s="5">
        <v>44205</v>
      </c>
      <c r="G57" s="11">
        <v>39562</v>
      </c>
      <c r="H57" s="11">
        <v>431</v>
      </c>
      <c r="I57" s="11">
        <v>39993</v>
      </c>
      <c r="K57" s="5">
        <v>43477</v>
      </c>
      <c r="L57" s="5">
        <v>44205</v>
      </c>
      <c r="M57" s="11">
        <v>-6207</v>
      </c>
      <c r="N57" s="11">
        <v>-120</v>
      </c>
      <c r="O57" s="11">
        <v>-6327</v>
      </c>
      <c r="P57" s="8">
        <v>-0.13561580982761257</v>
      </c>
      <c r="Q57" s="8">
        <v>-0.21778584392014522</v>
      </c>
      <c r="R57" s="12">
        <v>-0.13659326424870466</v>
      </c>
    </row>
    <row r="58" spans="1:18" x14ac:dyDescent="0.2">
      <c r="A58" s="5">
        <v>43475</v>
      </c>
      <c r="B58" s="11">
        <v>51740</v>
      </c>
      <c r="C58" s="11">
        <v>2248</v>
      </c>
      <c r="D58" s="11">
        <v>53988</v>
      </c>
      <c r="F58" s="5">
        <v>44206</v>
      </c>
      <c r="G58" s="11">
        <v>26653</v>
      </c>
      <c r="H58" s="11">
        <v>131</v>
      </c>
      <c r="I58" s="11">
        <v>26784</v>
      </c>
      <c r="K58" s="5">
        <v>43478</v>
      </c>
      <c r="L58" s="5">
        <v>44206</v>
      </c>
      <c r="M58" s="11">
        <v>-3748</v>
      </c>
      <c r="N58" s="11">
        <v>-62</v>
      </c>
      <c r="O58" s="11">
        <v>-3810</v>
      </c>
      <c r="P58" s="8">
        <v>-0.12328541824282091</v>
      </c>
      <c r="Q58" s="8">
        <v>-0.32124352331606221</v>
      </c>
      <c r="R58" s="12">
        <v>-0.12453422239654832</v>
      </c>
    </row>
    <row r="59" spans="1:18" x14ac:dyDescent="0.2">
      <c r="A59" s="5">
        <v>43476</v>
      </c>
      <c r="B59" s="11">
        <v>56676</v>
      </c>
      <c r="C59" s="11">
        <v>2138</v>
      </c>
      <c r="D59" s="11">
        <v>58814</v>
      </c>
      <c r="F59" s="5">
        <v>44207</v>
      </c>
      <c r="G59" s="11">
        <v>45948</v>
      </c>
      <c r="H59" s="11">
        <v>2017</v>
      </c>
      <c r="I59" s="11">
        <v>47965</v>
      </c>
      <c r="K59" s="5">
        <v>43479</v>
      </c>
      <c r="L59" s="5">
        <v>44207</v>
      </c>
      <c r="M59" s="11">
        <v>-5220</v>
      </c>
      <c r="N59" s="11">
        <v>-288</v>
      </c>
      <c r="O59" s="11">
        <v>-5508</v>
      </c>
      <c r="P59" s="8">
        <v>-0.10201688555347088</v>
      </c>
      <c r="Q59" s="8">
        <v>-0.1249457700650759</v>
      </c>
      <c r="R59" s="12">
        <v>-0.10300525498849888</v>
      </c>
    </row>
    <row r="60" spans="1:18" x14ac:dyDescent="0.2">
      <c r="A60" s="5">
        <v>43477</v>
      </c>
      <c r="B60" s="11">
        <v>45769</v>
      </c>
      <c r="C60" s="11">
        <v>551</v>
      </c>
      <c r="D60" s="11">
        <v>46320</v>
      </c>
      <c r="F60" s="5">
        <v>44208</v>
      </c>
      <c r="G60" s="11">
        <v>40903</v>
      </c>
      <c r="H60" s="11">
        <v>2111</v>
      </c>
      <c r="I60" s="11">
        <v>43014</v>
      </c>
      <c r="K60" s="5">
        <v>43480</v>
      </c>
      <c r="L60" s="5">
        <v>44208</v>
      </c>
      <c r="M60" s="11">
        <v>-12463</v>
      </c>
      <c r="N60" s="11">
        <v>-465</v>
      </c>
      <c r="O60" s="11">
        <v>-12928</v>
      </c>
      <c r="P60" s="8">
        <v>-0.2335382078476933</v>
      </c>
      <c r="Q60" s="8">
        <v>-0.18051242236024845</v>
      </c>
      <c r="R60" s="12">
        <v>-0.23109649279611022</v>
      </c>
    </row>
    <row r="61" spans="1:18" x14ac:dyDescent="0.2">
      <c r="A61" s="5">
        <v>43478</v>
      </c>
      <c r="B61" s="11">
        <v>30401</v>
      </c>
      <c r="C61" s="11">
        <v>193</v>
      </c>
      <c r="D61" s="11">
        <v>30594</v>
      </c>
      <c r="F61" s="5">
        <v>44209</v>
      </c>
      <c r="G61" s="11">
        <v>43142</v>
      </c>
      <c r="H61" s="11">
        <v>2130</v>
      </c>
      <c r="I61" s="11">
        <v>45272</v>
      </c>
      <c r="K61" s="5">
        <v>43481</v>
      </c>
      <c r="L61" s="5">
        <v>44209</v>
      </c>
      <c r="M61" s="11">
        <v>-11255</v>
      </c>
      <c r="N61" s="11">
        <v>-441</v>
      </c>
      <c r="O61" s="11">
        <v>-11696</v>
      </c>
      <c r="P61" s="8">
        <v>-0.20690479254370642</v>
      </c>
      <c r="Q61" s="8">
        <v>-0.1715285880980163</v>
      </c>
      <c r="R61" s="12">
        <v>-0.20530824322426622</v>
      </c>
    </row>
    <row r="62" spans="1:18" x14ac:dyDescent="0.2">
      <c r="A62" s="5">
        <v>43479</v>
      </c>
      <c r="B62" s="11">
        <v>51168</v>
      </c>
      <c r="C62" s="11">
        <v>2305</v>
      </c>
      <c r="D62" s="11">
        <v>53473</v>
      </c>
      <c r="F62" s="5">
        <v>44210</v>
      </c>
      <c r="G62" s="11">
        <v>47757</v>
      </c>
      <c r="H62" s="11">
        <v>2293</v>
      </c>
      <c r="I62" s="11">
        <v>50050</v>
      </c>
      <c r="K62" s="5">
        <v>43482</v>
      </c>
      <c r="L62" s="5">
        <v>44210</v>
      </c>
      <c r="M62" s="11">
        <v>-5298</v>
      </c>
      <c r="N62" s="11">
        <v>-308</v>
      </c>
      <c r="O62" s="11">
        <v>-5606</v>
      </c>
      <c r="P62" s="8">
        <v>-9.985863726321742E-2</v>
      </c>
      <c r="Q62" s="8">
        <v>-0.11841599384851975</v>
      </c>
      <c r="R62" s="12">
        <v>-0.10072588759522783</v>
      </c>
    </row>
    <row r="63" spans="1:18" x14ac:dyDescent="0.2">
      <c r="A63" s="5">
        <v>43480</v>
      </c>
      <c r="B63" s="11">
        <v>53366</v>
      </c>
      <c r="C63" s="11">
        <v>2576</v>
      </c>
      <c r="D63" s="11">
        <v>55942</v>
      </c>
      <c r="F63" s="5">
        <v>44211</v>
      </c>
      <c r="G63" s="11">
        <v>54164</v>
      </c>
      <c r="H63" s="11">
        <v>2047</v>
      </c>
      <c r="I63" s="11">
        <v>56211</v>
      </c>
      <c r="K63" s="5">
        <v>43483</v>
      </c>
      <c r="L63" s="5">
        <v>44211</v>
      </c>
      <c r="M63" s="11">
        <v>-5116</v>
      </c>
      <c r="N63" s="11">
        <v>-302</v>
      </c>
      <c r="O63" s="11">
        <v>-5418</v>
      </c>
      <c r="P63" s="8">
        <v>-8.630229419703106E-2</v>
      </c>
      <c r="Q63" s="8">
        <v>-0.12856534695615152</v>
      </c>
      <c r="R63" s="12">
        <v>-8.7913157766635885E-2</v>
      </c>
    </row>
    <row r="64" spans="1:18" x14ac:dyDescent="0.2">
      <c r="A64" s="5">
        <v>43481</v>
      </c>
      <c r="B64" s="11">
        <v>54397</v>
      </c>
      <c r="C64" s="11">
        <v>2571</v>
      </c>
      <c r="D64" s="11">
        <v>56968</v>
      </c>
      <c r="F64" s="5">
        <v>44212</v>
      </c>
      <c r="G64" s="11">
        <v>41381</v>
      </c>
      <c r="H64" s="11">
        <v>469</v>
      </c>
      <c r="I64" s="11">
        <v>41850</v>
      </c>
      <c r="K64" s="5">
        <v>43484</v>
      </c>
      <c r="L64" s="5">
        <v>44212</v>
      </c>
      <c r="M64" s="11">
        <v>-5854</v>
      </c>
      <c r="N64" s="11">
        <v>-131</v>
      </c>
      <c r="O64" s="11">
        <v>-5985</v>
      </c>
      <c r="P64" s="8">
        <v>-0.12393352387001166</v>
      </c>
      <c r="Q64" s="8">
        <v>-0.21833333333333338</v>
      </c>
      <c r="R64" s="12">
        <v>-0.1251175917215428</v>
      </c>
    </row>
    <row r="65" spans="1:18" x14ac:dyDescent="0.2">
      <c r="A65" s="5">
        <v>43482</v>
      </c>
      <c r="B65" s="11">
        <v>53055</v>
      </c>
      <c r="C65" s="11">
        <v>2601</v>
      </c>
      <c r="D65" s="11">
        <v>55656</v>
      </c>
      <c r="F65" s="5">
        <v>44213</v>
      </c>
      <c r="G65" s="11">
        <v>21885</v>
      </c>
      <c r="H65" s="11">
        <v>174</v>
      </c>
      <c r="I65" s="11">
        <v>22059</v>
      </c>
      <c r="K65" s="5">
        <v>43485</v>
      </c>
      <c r="L65" s="5">
        <v>44213</v>
      </c>
      <c r="M65" s="11">
        <v>-11582</v>
      </c>
      <c r="N65" s="11">
        <v>-46</v>
      </c>
      <c r="O65" s="11">
        <v>-11628</v>
      </c>
      <c r="P65" s="8">
        <v>-0.34607225027639166</v>
      </c>
      <c r="Q65" s="8">
        <v>-0.20909090909090911</v>
      </c>
      <c r="R65" s="12">
        <v>-0.34517766497461932</v>
      </c>
    </row>
    <row r="66" spans="1:18" x14ac:dyDescent="0.2">
      <c r="A66" s="5">
        <v>43483</v>
      </c>
      <c r="B66" s="11">
        <v>59280</v>
      </c>
      <c r="C66" s="11">
        <v>2349</v>
      </c>
      <c r="D66" s="11">
        <v>61629</v>
      </c>
      <c r="F66" s="5">
        <v>44214</v>
      </c>
      <c r="G66" s="11">
        <v>42771</v>
      </c>
      <c r="H66" s="11">
        <v>2163</v>
      </c>
      <c r="I66" s="11">
        <v>44934</v>
      </c>
      <c r="K66" s="5">
        <v>43486</v>
      </c>
      <c r="L66" s="5">
        <v>44214</v>
      </c>
      <c r="M66" s="11">
        <v>-9685</v>
      </c>
      <c r="N66" s="11">
        <v>-238</v>
      </c>
      <c r="O66" s="11">
        <v>-9923</v>
      </c>
      <c r="P66" s="8">
        <v>-0.18463092877840481</v>
      </c>
      <c r="Q66" s="8">
        <v>-9.9125364431486895E-2</v>
      </c>
      <c r="R66" s="12">
        <v>-0.18088849189711431</v>
      </c>
    </row>
    <row r="67" spans="1:18" x14ac:dyDescent="0.2">
      <c r="A67" s="5">
        <v>43484</v>
      </c>
      <c r="B67" s="11">
        <v>47235</v>
      </c>
      <c r="C67" s="11">
        <v>600</v>
      </c>
      <c r="D67" s="11">
        <v>47835</v>
      </c>
      <c r="F67" s="5">
        <v>44215</v>
      </c>
      <c r="G67" s="11">
        <v>43951</v>
      </c>
      <c r="H67" s="11">
        <v>2313</v>
      </c>
      <c r="I67" s="11">
        <v>46264</v>
      </c>
      <c r="K67" s="5">
        <v>43487</v>
      </c>
      <c r="L67" s="5">
        <v>44215</v>
      </c>
      <c r="M67" s="11">
        <v>-9474</v>
      </c>
      <c r="N67" s="11">
        <v>-205</v>
      </c>
      <c r="O67" s="11">
        <v>-9679</v>
      </c>
      <c r="P67" s="8">
        <v>-0.17733270940570889</v>
      </c>
      <c r="Q67" s="8">
        <v>-8.1413820492454381E-2</v>
      </c>
      <c r="R67" s="12">
        <v>-0.17301539066549876</v>
      </c>
    </row>
    <row r="68" spans="1:18" x14ac:dyDescent="0.2">
      <c r="A68" s="5">
        <v>43485</v>
      </c>
      <c r="B68" s="11">
        <v>33467</v>
      </c>
      <c r="C68" s="11">
        <v>220</v>
      </c>
      <c r="D68" s="11">
        <v>33687</v>
      </c>
      <c r="F68" s="5">
        <v>44216</v>
      </c>
      <c r="G68" s="11">
        <v>44789</v>
      </c>
      <c r="H68" s="11">
        <v>2412</v>
      </c>
      <c r="I68" s="11">
        <v>47201</v>
      </c>
      <c r="K68" s="5">
        <v>43488</v>
      </c>
      <c r="L68" s="5">
        <v>44216</v>
      </c>
      <c r="M68" s="11">
        <v>-6481</v>
      </c>
      <c r="N68" s="11">
        <v>-155</v>
      </c>
      <c r="O68" s="11">
        <v>-6636</v>
      </c>
      <c r="P68" s="8">
        <v>-0.12640920616344842</v>
      </c>
      <c r="Q68" s="8">
        <v>-6.0381768601480368E-2</v>
      </c>
      <c r="R68" s="12">
        <v>-0.1232609543622416</v>
      </c>
    </row>
    <row r="69" spans="1:18" x14ac:dyDescent="0.2">
      <c r="A69" s="5">
        <v>43486</v>
      </c>
      <c r="B69" s="11">
        <v>52456</v>
      </c>
      <c r="C69" s="11">
        <v>2401</v>
      </c>
      <c r="D69" s="11">
        <v>54857</v>
      </c>
      <c r="F69" s="5">
        <v>44217</v>
      </c>
      <c r="G69" s="11">
        <v>45192</v>
      </c>
      <c r="H69" s="11">
        <v>2390</v>
      </c>
      <c r="I69" s="11">
        <v>47582</v>
      </c>
      <c r="K69" s="5">
        <v>43489</v>
      </c>
      <c r="L69" s="5">
        <v>44217</v>
      </c>
      <c r="M69" s="11">
        <v>-9668</v>
      </c>
      <c r="N69" s="11">
        <v>-205</v>
      </c>
      <c r="O69" s="11">
        <v>-9873</v>
      </c>
      <c r="P69" s="8">
        <v>-0.17623040466642359</v>
      </c>
      <c r="Q69" s="8">
        <v>-7.899807321772645E-2</v>
      </c>
      <c r="R69" s="12">
        <v>-0.17183883038900005</v>
      </c>
    </row>
    <row r="70" spans="1:18" x14ac:dyDescent="0.2">
      <c r="A70" s="5">
        <v>43487</v>
      </c>
      <c r="B70" s="11">
        <v>53425</v>
      </c>
      <c r="C70" s="11">
        <v>2518</v>
      </c>
      <c r="D70" s="11">
        <v>55943</v>
      </c>
      <c r="F70" s="5">
        <v>44218</v>
      </c>
      <c r="G70" s="11">
        <v>50192</v>
      </c>
      <c r="H70" s="11">
        <v>2131</v>
      </c>
      <c r="I70" s="11">
        <v>52323</v>
      </c>
      <c r="K70" s="5">
        <v>43490</v>
      </c>
      <c r="L70" s="5">
        <v>44218</v>
      </c>
      <c r="M70" s="11">
        <v>-9761</v>
      </c>
      <c r="N70" s="11">
        <v>-354</v>
      </c>
      <c r="O70" s="11">
        <v>-10115</v>
      </c>
      <c r="P70" s="8">
        <v>-0.16281086851366899</v>
      </c>
      <c r="Q70" s="8">
        <v>-0.14245472837022133</v>
      </c>
      <c r="R70" s="12">
        <v>-0.16200070469906147</v>
      </c>
    </row>
    <row r="71" spans="1:18" x14ac:dyDescent="0.2">
      <c r="A71" s="5">
        <v>43488</v>
      </c>
      <c r="B71" s="11">
        <v>51270</v>
      </c>
      <c r="C71" s="11">
        <v>2567</v>
      </c>
      <c r="D71" s="11">
        <v>53837</v>
      </c>
      <c r="F71" s="5">
        <v>44219</v>
      </c>
      <c r="G71" s="11">
        <v>33568</v>
      </c>
      <c r="H71" s="11">
        <v>438</v>
      </c>
      <c r="I71" s="11">
        <v>34006</v>
      </c>
      <c r="K71" s="5">
        <v>43491</v>
      </c>
      <c r="L71" s="5">
        <v>44219</v>
      </c>
      <c r="M71" s="11">
        <v>-15184</v>
      </c>
      <c r="N71" s="11">
        <v>-218</v>
      </c>
      <c r="O71" s="11">
        <v>-15402</v>
      </c>
      <c r="P71" s="8">
        <v>-0.31145388907121763</v>
      </c>
      <c r="Q71" s="8">
        <v>-0.33231707317073167</v>
      </c>
      <c r="R71" s="12">
        <v>-0.31173089378238339</v>
      </c>
    </row>
    <row r="72" spans="1:18" x14ac:dyDescent="0.2">
      <c r="A72" s="5">
        <v>43489</v>
      </c>
      <c r="B72" s="11">
        <v>54860</v>
      </c>
      <c r="C72" s="11">
        <v>2595</v>
      </c>
      <c r="D72" s="11">
        <v>57455</v>
      </c>
      <c r="F72" s="5">
        <v>44220</v>
      </c>
      <c r="G72" s="11">
        <v>28119</v>
      </c>
      <c r="H72" s="11">
        <v>120</v>
      </c>
      <c r="I72" s="11">
        <v>28239</v>
      </c>
      <c r="K72" s="5">
        <v>43492</v>
      </c>
      <c r="L72" s="5">
        <v>44220</v>
      </c>
      <c r="M72" s="11">
        <v>-5597</v>
      </c>
      <c r="N72" s="11">
        <v>-87</v>
      </c>
      <c r="O72" s="11">
        <v>-5684</v>
      </c>
      <c r="P72" s="8">
        <v>-0.16600427096927273</v>
      </c>
      <c r="Q72" s="8">
        <v>-0.42028985507246375</v>
      </c>
      <c r="R72" s="12">
        <v>-0.16755593550098757</v>
      </c>
    </row>
    <row r="73" spans="1:18" x14ac:dyDescent="0.2">
      <c r="A73" s="5">
        <v>43490</v>
      </c>
      <c r="B73" s="11">
        <v>59953</v>
      </c>
      <c r="C73" s="11">
        <v>2485</v>
      </c>
      <c r="D73" s="11">
        <v>62438</v>
      </c>
      <c r="F73" s="5">
        <v>44221</v>
      </c>
      <c r="G73" s="11">
        <v>40229</v>
      </c>
      <c r="H73" s="11">
        <v>2119</v>
      </c>
      <c r="I73" s="11">
        <v>42348</v>
      </c>
      <c r="K73" s="5">
        <v>43493</v>
      </c>
      <c r="L73" s="5">
        <v>44221</v>
      </c>
      <c r="M73" s="11">
        <f t="shared" ref="M73:M75" si="4">G73-B76</f>
        <v>-10865</v>
      </c>
      <c r="N73" s="11">
        <f t="shared" ref="N73:N75" si="5">H73-C76</f>
        <v>-386</v>
      </c>
      <c r="O73" s="11">
        <f t="shared" ref="O73:O75" si="6">I73-D76</f>
        <v>-11251</v>
      </c>
      <c r="P73" s="8">
        <f t="shared" ref="P73:P75" si="7">G73/B76-1</f>
        <v>-0.21264727756683754</v>
      </c>
      <c r="Q73" s="8">
        <f t="shared" ref="Q73:Q75" si="8">H73/C76-1</f>
        <v>-0.15409181636726543</v>
      </c>
      <c r="R73" s="12">
        <f t="shared" ref="R73:R75" si="9">I73/D76-1</f>
        <v>-0.20991063266105714</v>
      </c>
    </row>
    <row r="74" spans="1:18" x14ac:dyDescent="0.2">
      <c r="A74" s="5">
        <v>43491</v>
      </c>
      <c r="B74" s="11">
        <v>48752</v>
      </c>
      <c r="C74" s="11">
        <v>656</v>
      </c>
      <c r="D74" s="11">
        <v>49408</v>
      </c>
      <c r="F74" s="5">
        <v>44222</v>
      </c>
      <c r="G74" s="11">
        <v>44766</v>
      </c>
      <c r="H74" s="11">
        <v>2254</v>
      </c>
      <c r="I74" s="11">
        <v>47020</v>
      </c>
      <c r="K74" s="5">
        <v>43494</v>
      </c>
      <c r="L74" s="5">
        <v>44222</v>
      </c>
      <c r="M74" s="11">
        <f t="shared" si="4"/>
        <v>-6921</v>
      </c>
      <c r="N74" s="11">
        <f t="shared" si="5"/>
        <v>-250</v>
      </c>
      <c r="O74" s="11">
        <f t="shared" si="6"/>
        <v>-7171</v>
      </c>
      <c r="P74" s="8">
        <f t="shared" si="7"/>
        <v>-0.13390214173776771</v>
      </c>
      <c r="Q74" s="8">
        <f t="shared" si="8"/>
        <v>-9.9840255591054361E-2</v>
      </c>
      <c r="R74" s="12">
        <f t="shared" si="9"/>
        <v>-0.13232824638777652</v>
      </c>
    </row>
    <row r="75" spans="1:18" x14ac:dyDescent="0.2">
      <c r="A75" s="5">
        <v>43492</v>
      </c>
      <c r="B75" s="11">
        <v>33716</v>
      </c>
      <c r="C75" s="11">
        <v>207</v>
      </c>
      <c r="D75" s="11">
        <v>33923</v>
      </c>
      <c r="F75" s="5">
        <v>44223</v>
      </c>
      <c r="G75" s="11">
        <v>44521</v>
      </c>
      <c r="H75" s="11">
        <v>2386</v>
      </c>
      <c r="I75" s="11">
        <v>46907</v>
      </c>
      <c r="K75" s="5">
        <v>43495</v>
      </c>
      <c r="L75" s="5">
        <v>44223</v>
      </c>
      <c r="M75" s="11">
        <f t="shared" si="4"/>
        <v>-6531</v>
      </c>
      <c r="N75" s="11">
        <f t="shared" si="5"/>
        <v>-111</v>
      </c>
      <c r="O75" s="11">
        <f t="shared" si="6"/>
        <v>-6642</v>
      </c>
      <c r="P75" s="8">
        <f t="shared" si="7"/>
        <v>-0.12792838674292872</v>
      </c>
      <c r="Q75" s="8">
        <f t="shared" si="8"/>
        <v>-4.4453344012815421E-2</v>
      </c>
      <c r="R75" s="12">
        <f t="shared" si="9"/>
        <v>-0.12403592970923827</v>
      </c>
    </row>
    <row r="76" spans="1:18" x14ac:dyDescent="0.2">
      <c r="A76" s="5">
        <v>43493</v>
      </c>
      <c r="B76" s="11">
        <v>51094</v>
      </c>
      <c r="C76" s="11">
        <v>2505</v>
      </c>
      <c r="D76" s="11">
        <v>53599</v>
      </c>
      <c r="F76" s="5">
        <v>44224</v>
      </c>
      <c r="G76" s="11">
        <v>45095</v>
      </c>
      <c r="H76" s="11">
        <v>2328</v>
      </c>
      <c r="I76" s="11">
        <v>47423</v>
      </c>
      <c r="K76" s="5">
        <v>43496</v>
      </c>
      <c r="L76" s="5">
        <v>44224</v>
      </c>
      <c r="M76" s="11">
        <f t="shared" ref="M76:M79" si="10">G76-B79</f>
        <v>-8122</v>
      </c>
      <c r="N76" s="11">
        <f t="shared" ref="N76:N79" si="11">H76-C79</f>
        <v>-228</v>
      </c>
      <c r="O76" s="11">
        <f t="shared" ref="O76:O79" si="12">I76-D79</f>
        <v>-8350</v>
      </c>
      <c r="P76" s="8">
        <f t="shared" ref="P76:P79" si="13">G76/B79-1</f>
        <v>-0.15262040325459914</v>
      </c>
      <c r="Q76" s="8">
        <f t="shared" ref="Q76:Q79" si="14">H76/C79-1</f>
        <v>-8.9201877934272256E-2</v>
      </c>
      <c r="R76" s="12">
        <f t="shared" ref="R76:R79" si="15">I76/D79-1</f>
        <v>-0.14971401932834882</v>
      </c>
    </row>
    <row r="77" spans="1:18" x14ac:dyDescent="0.2">
      <c r="A77" s="5">
        <v>43494</v>
      </c>
      <c r="B77" s="11">
        <v>51687</v>
      </c>
      <c r="C77" s="11">
        <v>2504</v>
      </c>
      <c r="D77" s="11">
        <v>54191</v>
      </c>
      <c r="F77" s="5">
        <v>44225</v>
      </c>
      <c r="G77" s="11">
        <v>49465</v>
      </c>
      <c r="H77" s="11">
        <v>2048</v>
      </c>
      <c r="I77" s="11">
        <v>51513</v>
      </c>
      <c r="K77" s="5">
        <v>43497</v>
      </c>
      <c r="L77" s="5">
        <v>44225</v>
      </c>
      <c r="M77" s="11">
        <f t="shared" si="10"/>
        <v>-3304</v>
      </c>
      <c r="N77" s="11">
        <f t="shared" si="11"/>
        <v>-239</v>
      </c>
      <c r="O77" s="11">
        <f t="shared" si="12"/>
        <v>-3543</v>
      </c>
      <c r="P77" s="8">
        <f t="shared" si="13"/>
        <v>-6.261251871363871E-2</v>
      </c>
      <c r="Q77" s="8">
        <f t="shared" si="14"/>
        <v>-0.10450371665937908</v>
      </c>
      <c r="R77" s="12">
        <f t="shared" si="15"/>
        <v>-6.4352659110723631E-2</v>
      </c>
    </row>
    <row r="78" spans="1:18" x14ac:dyDescent="0.2">
      <c r="A78" s="5">
        <v>43495</v>
      </c>
      <c r="B78" s="11">
        <v>51052</v>
      </c>
      <c r="C78" s="11">
        <v>2497</v>
      </c>
      <c r="D78" s="11">
        <v>53549</v>
      </c>
      <c r="F78" s="5">
        <v>44226</v>
      </c>
      <c r="G78" s="11">
        <v>34839</v>
      </c>
      <c r="H78" s="11">
        <v>442</v>
      </c>
      <c r="I78" s="11">
        <v>35281</v>
      </c>
      <c r="K78" s="5">
        <v>43498</v>
      </c>
      <c r="L78" s="5">
        <v>44226</v>
      </c>
      <c r="M78" s="11">
        <f t="shared" si="10"/>
        <v>-12037</v>
      </c>
      <c r="N78" s="11">
        <f t="shared" si="11"/>
        <v>-261</v>
      </c>
      <c r="O78" s="11">
        <f t="shared" si="12"/>
        <v>-12298</v>
      </c>
      <c r="P78" s="8">
        <f t="shared" si="13"/>
        <v>-0.25678385527775405</v>
      </c>
      <c r="Q78" s="8">
        <f t="shared" si="14"/>
        <v>-0.37126600284495026</v>
      </c>
      <c r="R78" s="12">
        <f t="shared" si="15"/>
        <v>-0.25847537779272367</v>
      </c>
    </row>
    <row r="79" spans="1:18" x14ac:dyDescent="0.2">
      <c r="A79" s="5">
        <v>43496</v>
      </c>
      <c r="B79" s="11">
        <v>53217</v>
      </c>
      <c r="C79" s="11">
        <v>2556</v>
      </c>
      <c r="D79" s="11">
        <v>55773</v>
      </c>
      <c r="F79" s="5">
        <v>44227</v>
      </c>
      <c r="G79" s="11">
        <v>27624</v>
      </c>
      <c r="H79" s="11">
        <v>134</v>
      </c>
      <c r="I79" s="11">
        <v>27758</v>
      </c>
      <c r="K79" s="5">
        <v>43499</v>
      </c>
      <c r="L79" s="5">
        <v>44227</v>
      </c>
      <c r="M79" s="11">
        <f t="shared" si="10"/>
        <v>-4471</v>
      </c>
      <c r="N79" s="11">
        <f t="shared" si="11"/>
        <v>-68</v>
      </c>
      <c r="O79" s="11">
        <f t="shared" si="12"/>
        <v>-4539</v>
      </c>
      <c r="P79" s="8">
        <f t="shared" si="13"/>
        <v>-0.13930518772394451</v>
      </c>
      <c r="Q79" s="8">
        <f t="shared" si="14"/>
        <v>-0.3366336633663366</v>
      </c>
      <c r="R79" s="12">
        <f t="shared" si="15"/>
        <v>-0.14053936898163921</v>
      </c>
    </row>
    <row r="80" spans="1:18" x14ac:dyDescent="0.2">
      <c r="A80" s="5">
        <v>43497</v>
      </c>
      <c r="B80" s="11">
        <v>52769</v>
      </c>
      <c r="C80" s="11">
        <v>2287</v>
      </c>
      <c r="D80" s="11">
        <v>55056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">
      <c r="A81" s="5">
        <v>43498</v>
      </c>
      <c r="B81" s="11">
        <v>46876</v>
      </c>
      <c r="C81" s="11">
        <v>703</v>
      </c>
      <c r="D81" s="11">
        <v>47579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2">
      <c r="A82" s="5">
        <v>43499</v>
      </c>
      <c r="B82" s="11">
        <v>32095</v>
      </c>
      <c r="C82" s="11">
        <v>202</v>
      </c>
      <c r="D82" s="11">
        <v>32297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2">
      <c r="A83" s="5"/>
      <c r="B83" s="11"/>
      <c r="C83" s="11"/>
      <c r="D83" s="11"/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2">
      <c r="B84" s="2"/>
      <c r="C84" s="2"/>
      <c r="G84" s="2"/>
      <c r="H84" s="2"/>
    </row>
    <row r="85" spans="1:18" ht="12.95" customHeight="1" x14ac:dyDescent="0.2">
      <c r="A85" s="23" t="s">
        <v>41</v>
      </c>
      <c r="B85" s="6"/>
      <c r="C85" s="6"/>
      <c r="D85" s="3"/>
      <c r="F85" s="23" t="s">
        <v>41</v>
      </c>
      <c r="G85" s="6"/>
      <c r="H85" s="6"/>
      <c r="I85" s="3"/>
      <c r="K85" s="23" t="s">
        <v>42</v>
      </c>
      <c r="L85" s="23"/>
      <c r="M85" s="6"/>
      <c r="N85" s="6"/>
      <c r="O85" s="3"/>
      <c r="P85" s="6"/>
      <c r="Q85" s="6"/>
      <c r="R85" s="3"/>
    </row>
    <row r="86" spans="1:18" ht="26.45" customHeight="1" x14ac:dyDescent="0.2">
      <c r="A86" s="24"/>
      <c r="B86" s="7" t="s">
        <v>38</v>
      </c>
      <c r="C86" s="4" t="s">
        <v>2</v>
      </c>
      <c r="D86" s="4" t="s">
        <v>0</v>
      </c>
      <c r="F86" s="24"/>
      <c r="G86" s="7" t="s">
        <v>38</v>
      </c>
      <c r="H86" s="4" t="s">
        <v>2</v>
      </c>
      <c r="I86" s="4" t="s">
        <v>0</v>
      </c>
      <c r="K86" s="24"/>
      <c r="L86" s="24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2">
      <c r="A87" s="5">
        <v>43466</v>
      </c>
      <c r="B87" s="11">
        <v>27732</v>
      </c>
      <c r="C87" s="11">
        <v>102</v>
      </c>
      <c r="D87" s="11">
        <v>27834</v>
      </c>
      <c r="F87" s="5">
        <v>44197</v>
      </c>
      <c r="G87" s="11">
        <v>21348</v>
      </c>
      <c r="H87" s="11">
        <v>56</v>
      </c>
      <c r="I87" s="11">
        <v>21404</v>
      </c>
      <c r="K87" s="5">
        <v>43469</v>
      </c>
      <c r="L87" s="5">
        <v>44197</v>
      </c>
      <c r="M87" s="11">
        <v>-23474</v>
      </c>
      <c r="N87" s="11">
        <v>-1247</v>
      </c>
      <c r="O87" s="11">
        <v>-24721</v>
      </c>
      <c r="P87" s="8">
        <v>-0.52371603230556429</v>
      </c>
      <c r="Q87" s="8">
        <v>-0.95702225633154259</v>
      </c>
      <c r="R87" s="12">
        <v>-0.53595663956639572</v>
      </c>
    </row>
    <row r="88" spans="1:18" x14ac:dyDescent="0.2">
      <c r="A88" s="5">
        <v>43467</v>
      </c>
      <c r="B88" s="11">
        <v>33289</v>
      </c>
      <c r="C88" s="11">
        <v>358</v>
      </c>
      <c r="D88" s="11">
        <v>33647</v>
      </c>
      <c r="F88" s="5">
        <v>44198</v>
      </c>
      <c r="G88" s="11">
        <v>30570</v>
      </c>
      <c r="H88" s="11">
        <v>187</v>
      </c>
      <c r="I88" s="11">
        <v>30757</v>
      </c>
      <c r="K88" s="5">
        <v>43470</v>
      </c>
      <c r="L88" s="5">
        <v>44198</v>
      </c>
      <c r="M88" s="11">
        <v>-11954</v>
      </c>
      <c r="N88" s="11">
        <v>-286</v>
      </c>
      <c r="O88" s="11">
        <v>-12240</v>
      </c>
      <c r="P88" s="8">
        <v>-0.28111184272410872</v>
      </c>
      <c r="Q88" s="8">
        <v>-0.60465116279069764</v>
      </c>
      <c r="R88" s="12">
        <v>-0.28467102355978324</v>
      </c>
    </row>
    <row r="89" spans="1:18" x14ac:dyDescent="0.2">
      <c r="A89" s="5">
        <v>43468</v>
      </c>
      <c r="B89" s="11">
        <v>43160</v>
      </c>
      <c r="C89" s="11">
        <v>1295</v>
      </c>
      <c r="D89" s="11">
        <v>44455</v>
      </c>
      <c r="F89" s="5">
        <v>44199</v>
      </c>
      <c r="G89" s="11">
        <v>29625</v>
      </c>
      <c r="H89" s="11">
        <v>80</v>
      </c>
      <c r="I89" s="11">
        <v>29705</v>
      </c>
      <c r="K89" s="5">
        <v>43471</v>
      </c>
      <c r="L89" s="5">
        <v>44199</v>
      </c>
      <c r="M89" s="11">
        <v>-4151</v>
      </c>
      <c r="N89" s="11">
        <v>-84</v>
      </c>
      <c r="O89" s="11">
        <v>-4235</v>
      </c>
      <c r="P89" s="8">
        <v>-0.1228979156797726</v>
      </c>
      <c r="Q89" s="8">
        <v>-0.51219512195121952</v>
      </c>
      <c r="R89" s="12">
        <v>-0.12477902180318212</v>
      </c>
    </row>
    <row r="90" spans="1:18" x14ac:dyDescent="0.2">
      <c r="A90" s="5">
        <v>43469</v>
      </c>
      <c r="B90" s="11">
        <v>44822</v>
      </c>
      <c r="C90" s="11">
        <v>1303</v>
      </c>
      <c r="D90" s="11">
        <v>46125</v>
      </c>
      <c r="F90" s="5">
        <v>44200</v>
      </c>
      <c r="G90" s="11">
        <v>39856</v>
      </c>
      <c r="H90" s="11">
        <v>1137</v>
      </c>
      <c r="I90" s="11">
        <v>40993</v>
      </c>
      <c r="K90" s="5">
        <v>43472</v>
      </c>
      <c r="L90" s="5">
        <v>44200</v>
      </c>
      <c r="M90" s="11">
        <v>-5777</v>
      </c>
      <c r="N90" s="11">
        <v>-695</v>
      </c>
      <c r="O90" s="11">
        <v>-6472</v>
      </c>
      <c r="P90" s="8">
        <v>-0.1265969802555168</v>
      </c>
      <c r="Q90" s="8">
        <v>-0.37936681222707425</v>
      </c>
      <c r="R90" s="12">
        <v>-0.13635310228589492</v>
      </c>
    </row>
    <row r="91" spans="1:18" x14ac:dyDescent="0.2">
      <c r="A91" s="5">
        <v>43470</v>
      </c>
      <c r="B91" s="11">
        <v>42524</v>
      </c>
      <c r="C91" s="11">
        <v>473</v>
      </c>
      <c r="D91" s="11">
        <v>42997</v>
      </c>
      <c r="F91" s="5">
        <v>44201</v>
      </c>
      <c r="G91" s="11">
        <v>40905</v>
      </c>
      <c r="H91" s="11">
        <v>1389</v>
      </c>
      <c r="I91" s="11">
        <v>42294</v>
      </c>
      <c r="K91" s="5">
        <v>43473</v>
      </c>
      <c r="L91" s="5">
        <v>44201</v>
      </c>
      <c r="M91" s="11">
        <v>-4867</v>
      </c>
      <c r="N91" s="11">
        <v>-474</v>
      </c>
      <c r="O91" s="11">
        <v>-5341</v>
      </c>
      <c r="P91" s="8">
        <v>-0.10633138163069122</v>
      </c>
      <c r="Q91" s="8">
        <v>-0.25442834138486314</v>
      </c>
      <c r="R91" s="12">
        <v>-0.11212343864805285</v>
      </c>
    </row>
    <row r="92" spans="1:18" x14ac:dyDescent="0.2">
      <c r="A92" s="5">
        <v>43471</v>
      </c>
      <c r="B92" s="11">
        <v>33776</v>
      </c>
      <c r="C92" s="11">
        <v>164</v>
      </c>
      <c r="D92" s="11">
        <v>33940</v>
      </c>
      <c r="F92" s="5">
        <v>44202</v>
      </c>
      <c r="G92" s="11">
        <v>41542</v>
      </c>
      <c r="H92" s="11">
        <v>1423</v>
      </c>
      <c r="I92" s="11">
        <v>42965</v>
      </c>
      <c r="K92" s="5">
        <v>43474</v>
      </c>
      <c r="L92" s="5">
        <v>44202</v>
      </c>
      <c r="M92" s="11">
        <v>-3715</v>
      </c>
      <c r="N92" s="11">
        <v>-521</v>
      </c>
      <c r="O92" s="11">
        <v>-4236</v>
      </c>
      <c r="P92" s="8">
        <v>-8.208674901120272E-2</v>
      </c>
      <c r="Q92" s="8">
        <v>-0.26800411522633749</v>
      </c>
      <c r="R92" s="12">
        <v>-8.974386135886947E-2</v>
      </c>
    </row>
    <row r="93" spans="1:18" x14ac:dyDescent="0.2">
      <c r="A93" s="5">
        <v>43472</v>
      </c>
      <c r="B93" s="11">
        <v>45633</v>
      </c>
      <c r="C93" s="11">
        <v>1832</v>
      </c>
      <c r="D93" s="11">
        <v>47465</v>
      </c>
      <c r="F93" s="5">
        <v>44203</v>
      </c>
      <c r="G93" s="11">
        <v>42273</v>
      </c>
      <c r="H93" s="11">
        <v>1442</v>
      </c>
      <c r="I93" s="11">
        <v>43715</v>
      </c>
      <c r="K93" s="5">
        <v>43475</v>
      </c>
      <c r="L93" s="5">
        <v>44203</v>
      </c>
      <c r="M93" s="11">
        <v>-5859</v>
      </c>
      <c r="N93" s="11">
        <v>-553</v>
      </c>
      <c r="O93" s="11">
        <v>-6412</v>
      </c>
      <c r="P93" s="8">
        <v>-0.12172774869109948</v>
      </c>
      <c r="Q93" s="8">
        <v>-0.27719298245614032</v>
      </c>
      <c r="R93" s="12">
        <v>-0.12791509565703119</v>
      </c>
    </row>
    <row r="94" spans="1:18" x14ac:dyDescent="0.2">
      <c r="A94" s="5">
        <v>43473</v>
      </c>
      <c r="B94" s="11">
        <v>45772</v>
      </c>
      <c r="C94" s="11">
        <v>1863</v>
      </c>
      <c r="D94" s="11">
        <v>47635</v>
      </c>
      <c r="F94" s="5">
        <v>44204</v>
      </c>
      <c r="G94" s="11">
        <v>45210</v>
      </c>
      <c r="H94" s="11">
        <v>1338</v>
      </c>
      <c r="I94" s="11">
        <v>46548</v>
      </c>
      <c r="K94" s="5">
        <v>43476</v>
      </c>
      <c r="L94" s="5">
        <v>44204</v>
      </c>
      <c r="M94" s="11">
        <v>-4099</v>
      </c>
      <c r="N94" s="11">
        <v>-463</v>
      </c>
      <c r="O94" s="11">
        <v>-4562</v>
      </c>
      <c r="P94" s="8">
        <v>-8.3128840576770946E-2</v>
      </c>
      <c r="Q94" s="8">
        <v>-0.25707940033314824</v>
      </c>
      <c r="R94" s="12">
        <v>-8.9258462140481276E-2</v>
      </c>
    </row>
    <row r="95" spans="1:18" x14ac:dyDescent="0.2">
      <c r="A95" s="5">
        <v>43474</v>
      </c>
      <c r="B95" s="11">
        <v>45257</v>
      </c>
      <c r="C95" s="11">
        <v>1944</v>
      </c>
      <c r="D95" s="11">
        <v>47201</v>
      </c>
      <c r="F95" s="5">
        <v>44205</v>
      </c>
      <c r="G95" s="11">
        <v>38796</v>
      </c>
      <c r="H95" s="11">
        <v>362</v>
      </c>
      <c r="I95" s="11">
        <v>39158</v>
      </c>
      <c r="K95" s="5">
        <v>43477</v>
      </c>
      <c r="L95" s="5">
        <v>44205</v>
      </c>
      <c r="M95" s="11">
        <v>-3753</v>
      </c>
      <c r="N95" s="11">
        <v>-172</v>
      </c>
      <c r="O95" s="11">
        <v>-3925</v>
      </c>
      <c r="P95" s="8">
        <v>-8.8204188112529058E-2</v>
      </c>
      <c r="Q95" s="8">
        <v>-0.32209737827715357</v>
      </c>
      <c r="R95" s="12">
        <v>-9.110321936726784E-2</v>
      </c>
    </row>
    <row r="96" spans="1:18" x14ac:dyDescent="0.2">
      <c r="A96" s="5">
        <v>43475</v>
      </c>
      <c r="B96" s="11">
        <v>48132</v>
      </c>
      <c r="C96" s="11">
        <v>1995</v>
      </c>
      <c r="D96" s="11">
        <v>50127</v>
      </c>
      <c r="F96" s="5">
        <v>44206</v>
      </c>
      <c r="G96" s="11">
        <v>31038</v>
      </c>
      <c r="H96" s="11">
        <v>96</v>
      </c>
      <c r="I96" s="11">
        <v>31134</v>
      </c>
      <c r="K96" s="5">
        <v>43478</v>
      </c>
      <c r="L96" s="5">
        <v>44206</v>
      </c>
      <c r="M96" s="11">
        <v>-1326</v>
      </c>
      <c r="N96" s="11">
        <v>-77</v>
      </c>
      <c r="O96" s="11">
        <v>-1403</v>
      </c>
      <c r="P96" s="8">
        <v>-4.0971449758991474E-2</v>
      </c>
      <c r="Q96" s="8">
        <v>-0.44508670520231219</v>
      </c>
      <c r="R96" s="12">
        <v>-4.312014014813903E-2</v>
      </c>
    </row>
    <row r="97" spans="1:18" x14ac:dyDescent="0.2">
      <c r="A97" s="5">
        <v>43476</v>
      </c>
      <c r="B97" s="11">
        <v>49309</v>
      </c>
      <c r="C97" s="11">
        <v>1801</v>
      </c>
      <c r="D97" s="11">
        <v>51110</v>
      </c>
      <c r="F97" s="5">
        <v>44207</v>
      </c>
      <c r="G97" s="11">
        <v>44099</v>
      </c>
      <c r="H97" s="11">
        <v>1851</v>
      </c>
      <c r="I97" s="11">
        <v>45950</v>
      </c>
      <c r="K97" s="5">
        <v>43479</v>
      </c>
      <c r="L97" s="5">
        <v>44207</v>
      </c>
      <c r="M97" s="11">
        <v>-4034</v>
      </c>
      <c r="N97" s="11">
        <v>-250</v>
      </c>
      <c r="O97" s="11">
        <v>-4284</v>
      </c>
      <c r="P97" s="8">
        <v>-8.3809444663744181E-2</v>
      </c>
      <c r="Q97" s="8">
        <v>-0.11899095668729176</v>
      </c>
      <c r="R97" s="12">
        <v>-8.5280885456065603E-2</v>
      </c>
    </row>
    <row r="98" spans="1:18" x14ac:dyDescent="0.2">
      <c r="A98" s="5">
        <v>43477</v>
      </c>
      <c r="B98" s="11">
        <v>42549</v>
      </c>
      <c r="C98" s="11">
        <v>534</v>
      </c>
      <c r="D98" s="11">
        <v>43083</v>
      </c>
      <c r="F98" s="5">
        <v>44208</v>
      </c>
      <c r="G98" s="11">
        <v>39223</v>
      </c>
      <c r="H98" s="11">
        <v>1924</v>
      </c>
      <c r="I98" s="11">
        <v>41147</v>
      </c>
      <c r="K98" s="5">
        <v>43480</v>
      </c>
      <c r="L98" s="5">
        <v>44208</v>
      </c>
      <c r="M98" s="11">
        <v>-10704</v>
      </c>
      <c r="N98" s="11">
        <v>-390</v>
      </c>
      <c r="O98" s="11">
        <v>-11094</v>
      </c>
      <c r="P98" s="8">
        <v>-0.21439301380014819</v>
      </c>
      <c r="Q98" s="8">
        <v>-0.1685393258426966</v>
      </c>
      <c r="R98" s="12">
        <v>-0.21236193794146363</v>
      </c>
    </row>
    <row r="99" spans="1:18" x14ac:dyDescent="0.2">
      <c r="A99" s="5">
        <v>43478</v>
      </c>
      <c r="B99" s="11">
        <v>32364</v>
      </c>
      <c r="C99" s="11">
        <v>173</v>
      </c>
      <c r="D99" s="11">
        <v>32537</v>
      </c>
      <c r="F99" s="5">
        <v>44209</v>
      </c>
      <c r="G99" s="11">
        <v>40712</v>
      </c>
      <c r="H99" s="11">
        <v>1883</v>
      </c>
      <c r="I99" s="11">
        <v>42595</v>
      </c>
      <c r="K99" s="5">
        <v>43481</v>
      </c>
      <c r="L99" s="5">
        <v>44209</v>
      </c>
      <c r="M99" s="11">
        <v>-10123</v>
      </c>
      <c r="N99" s="11">
        <v>-443</v>
      </c>
      <c r="O99" s="11">
        <v>-10566</v>
      </c>
      <c r="P99" s="8">
        <v>-0.19913445460804569</v>
      </c>
      <c r="Q99" s="8">
        <v>-0.19045571797076521</v>
      </c>
      <c r="R99" s="12">
        <v>-0.19875472620906298</v>
      </c>
    </row>
    <row r="100" spans="1:18" x14ac:dyDescent="0.2">
      <c r="A100" s="5">
        <v>43479</v>
      </c>
      <c r="B100" s="11">
        <v>48133</v>
      </c>
      <c r="C100" s="11">
        <v>2101</v>
      </c>
      <c r="D100" s="11">
        <v>50234</v>
      </c>
      <c r="F100" s="5">
        <v>44210</v>
      </c>
      <c r="G100" s="11">
        <v>43864</v>
      </c>
      <c r="H100" s="11">
        <v>2055</v>
      </c>
      <c r="I100" s="11">
        <v>45919</v>
      </c>
      <c r="K100" s="5">
        <v>43482</v>
      </c>
      <c r="L100" s="5">
        <v>44210</v>
      </c>
      <c r="M100" s="11">
        <v>-7941</v>
      </c>
      <c r="N100" s="11">
        <v>-296</v>
      </c>
      <c r="O100" s="11">
        <v>-8237</v>
      </c>
      <c r="P100" s="8">
        <v>-0.1532863623202394</v>
      </c>
      <c r="Q100" s="8">
        <v>-0.12590387069332198</v>
      </c>
      <c r="R100" s="12">
        <v>-0.15209764384371072</v>
      </c>
    </row>
    <row r="101" spans="1:18" x14ac:dyDescent="0.2">
      <c r="A101" s="5">
        <v>43480</v>
      </c>
      <c r="B101" s="11">
        <v>49927</v>
      </c>
      <c r="C101" s="11">
        <v>2314</v>
      </c>
      <c r="D101" s="11">
        <v>52241</v>
      </c>
      <c r="F101" s="5">
        <v>44211</v>
      </c>
      <c r="G101" s="11">
        <v>46346</v>
      </c>
      <c r="H101" s="11">
        <v>1795</v>
      </c>
      <c r="I101" s="11">
        <v>48141</v>
      </c>
      <c r="K101" s="5">
        <v>43483</v>
      </c>
      <c r="L101" s="5">
        <v>44211</v>
      </c>
      <c r="M101" s="11">
        <v>-7425</v>
      </c>
      <c r="N101" s="11">
        <v>-246</v>
      </c>
      <c r="O101" s="11">
        <v>-7671</v>
      </c>
      <c r="P101" s="8">
        <v>-0.13808558516672553</v>
      </c>
      <c r="Q101" s="8">
        <v>-0.12052915237628614</v>
      </c>
      <c r="R101" s="12">
        <v>-0.13744356052461837</v>
      </c>
    </row>
    <row r="102" spans="1:18" x14ac:dyDescent="0.2">
      <c r="A102" s="5">
        <v>43481</v>
      </c>
      <c r="B102" s="11">
        <v>50835</v>
      </c>
      <c r="C102" s="11">
        <v>2326</v>
      </c>
      <c r="D102" s="11">
        <v>53161</v>
      </c>
      <c r="F102" s="5">
        <v>44212</v>
      </c>
      <c r="G102" s="11">
        <v>37797</v>
      </c>
      <c r="H102" s="11">
        <v>399</v>
      </c>
      <c r="I102" s="11">
        <v>38196</v>
      </c>
      <c r="K102" s="5">
        <v>43484</v>
      </c>
      <c r="L102" s="5">
        <v>44212</v>
      </c>
      <c r="M102" s="11">
        <v>-6629</v>
      </c>
      <c r="N102" s="11">
        <v>-196</v>
      </c>
      <c r="O102" s="11">
        <v>-6825</v>
      </c>
      <c r="P102" s="8">
        <v>-0.14921442398595419</v>
      </c>
      <c r="Q102" s="8">
        <v>-0.3294117647058824</v>
      </c>
      <c r="R102" s="12">
        <v>-0.15159592190311189</v>
      </c>
    </row>
    <row r="103" spans="1:18" x14ac:dyDescent="0.2">
      <c r="A103" s="5">
        <v>43482</v>
      </c>
      <c r="B103" s="11">
        <v>51805</v>
      </c>
      <c r="C103" s="11">
        <v>2351</v>
      </c>
      <c r="D103" s="11">
        <v>54156</v>
      </c>
      <c r="F103" s="5">
        <v>44213</v>
      </c>
      <c r="G103" s="11">
        <v>26617</v>
      </c>
      <c r="H103" s="11">
        <v>123</v>
      </c>
      <c r="I103" s="11">
        <v>26740</v>
      </c>
      <c r="K103" s="5">
        <v>43485</v>
      </c>
      <c r="L103" s="5">
        <v>44213</v>
      </c>
      <c r="M103" s="11">
        <v>-10685</v>
      </c>
      <c r="N103" s="11">
        <v>-60</v>
      </c>
      <c r="O103" s="11">
        <v>-10745</v>
      </c>
      <c r="P103" s="8">
        <v>-0.28644576698300361</v>
      </c>
      <c r="Q103" s="8">
        <v>-0.32786885245901642</v>
      </c>
      <c r="R103" s="12">
        <v>-0.28664799253034545</v>
      </c>
    </row>
    <row r="104" spans="1:18" x14ac:dyDescent="0.2">
      <c r="A104" s="5">
        <v>43483</v>
      </c>
      <c r="B104" s="11">
        <v>53771</v>
      </c>
      <c r="C104" s="11">
        <v>2041</v>
      </c>
      <c r="D104" s="11">
        <v>55812</v>
      </c>
      <c r="F104" s="5">
        <v>44214</v>
      </c>
      <c r="G104" s="11">
        <v>41045</v>
      </c>
      <c r="H104" s="11">
        <v>2096</v>
      </c>
      <c r="I104" s="11">
        <v>43141</v>
      </c>
      <c r="K104" s="5">
        <v>43486</v>
      </c>
      <c r="L104" s="5">
        <v>44214</v>
      </c>
      <c r="M104" s="11">
        <v>-8418</v>
      </c>
      <c r="N104" s="11">
        <v>-158</v>
      </c>
      <c r="O104" s="11">
        <v>-8576</v>
      </c>
      <c r="P104" s="8">
        <v>-0.17018781715625819</v>
      </c>
      <c r="Q104" s="8">
        <v>-7.0097604259094948E-2</v>
      </c>
      <c r="R104" s="12">
        <v>-0.16582555059264847</v>
      </c>
    </row>
    <row r="105" spans="1:18" x14ac:dyDescent="0.2">
      <c r="A105" s="5">
        <v>43484</v>
      </c>
      <c r="B105" s="11">
        <v>44426</v>
      </c>
      <c r="C105" s="11">
        <v>595</v>
      </c>
      <c r="D105" s="11">
        <v>45021</v>
      </c>
      <c r="F105" s="5">
        <v>44215</v>
      </c>
      <c r="G105" s="11">
        <v>41481</v>
      </c>
      <c r="H105" s="11">
        <v>2119</v>
      </c>
      <c r="I105" s="11">
        <v>43600</v>
      </c>
      <c r="K105" s="5">
        <v>43487</v>
      </c>
      <c r="L105" s="5">
        <v>44215</v>
      </c>
      <c r="M105" s="11">
        <v>-8815</v>
      </c>
      <c r="N105" s="11">
        <v>-207</v>
      </c>
      <c r="O105" s="11">
        <v>-9022</v>
      </c>
      <c r="P105" s="8">
        <v>-0.17526244631779864</v>
      </c>
      <c r="Q105" s="8">
        <v>-8.8993981083404949E-2</v>
      </c>
      <c r="R105" s="12">
        <v>-0.17144920375508343</v>
      </c>
    </row>
    <row r="106" spans="1:18" x14ac:dyDescent="0.2">
      <c r="A106" s="5">
        <v>43485</v>
      </c>
      <c r="B106" s="11">
        <v>37302</v>
      </c>
      <c r="C106" s="11">
        <v>183</v>
      </c>
      <c r="D106" s="11">
        <v>37485</v>
      </c>
      <c r="F106" s="5">
        <v>44216</v>
      </c>
      <c r="G106" s="11">
        <v>42569</v>
      </c>
      <c r="H106" s="11">
        <v>2170</v>
      </c>
      <c r="I106" s="11">
        <v>44739</v>
      </c>
      <c r="K106" s="5">
        <v>43488</v>
      </c>
      <c r="L106" s="5">
        <v>44216</v>
      </c>
      <c r="M106" s="11">
        <v>-6061</v>
      </c>
      <c r="N106" s="11">
        <v>-179</v>
      </c>
      <c r="O106" s="11">
        <v>-6240</v>
      </c>
      <c r="P106" s="8">
        <v>-0.12463499897182806</v>
      </c>
      <c r="Q106" s="8">
        <v>-7.6202639421030227E-2</v>
      </c>
      <c r="R106" s="12">
        <v>-0.12240334255281582</v>
      </c>
    </row>
    <row r="107" spans="1:18" x14ac:dyDescent="0.2">
      <c r="A107" s="5">
        <v>43486</v>
      </c>
      <c r="B107" s="11">
        <v>49463</v>
      </c>
      <c r="C107" s="11">
        <v>2254</v>
      </c>
      <c r="D107" s="11">
        <v>51717</v>
      </c>
      <c r="F107" s="5">
        <v>44217</v>
      </c>
      <c r="G107" s="11">
        <v>41749</v>
      </c>
      <c r="H107" s="11">
        <v>2096</v>
      </c>
      <c r="I107" s="11">
        <v>43845</v>
      </c>
      <c r="K107" s="5">
        <v>43489</v>
      </c>
      <c r="L107" s="5">
        <v>44217</v>
      </c>
      <c r="M107" s="11">
        <v>-9846</v>
      </c>
      <c r="N107" s="11">
        <v>-301</v>
      </c>
      <c r="O107" s="11">
        <v>-10147</v>
      </c>
      <c r="P107" s="8">
        <v>-0.19083244500436092</v>
      </c>
      <c r="Q107" s="8">
        <v>-0.1255736337088027</v>
      </c>
      <c r="R107" s="12">
        <v>-0.18793524966661723</v>
      </c>
    </row>
    <row r="108" spans="1:18" x14ac:dyDescent="0.2">
      <c r="A108" s="5">
        <v>43487</v>
      </c>
      <c r="B108" s="11">
        <v>50296</v>
      </c>
      <c r="C108" s="11">
        <v>2326</v>
      </c>
      <c r="D108" s="11">
        <v>52622</v>
      </c>
      <c r="F108" s="5">
        <v>44218</v>
      </c>
      <c r="G108" s="11">
        <v>42701</v>
      </c>
      <c r="H108" s="11">
        <v>1867</v>
      </c>
      <c r="I108" s="11">
        <v>44568</v>
      </c>
      <c r="K108" s="5">
        <v>43490</v>
      </c>
      <c r="L108" s="5">
        <v>44218</v>
      </c>
      <c r="M108" s="11">
        <v>-12256</v>
      </c>
      <c r="N108" s="11">
        <v>-312</v>
      </c>
      <c r="O108" s="11">
        <v>-12568</v>
      </c>
      <c r="P108" s="8">
        <v>-0.22301071747002199</v>
      </c>
      <c r="Q108" s="8">
        <v>-0.14318494722349706</v>
      </c>
      <c r="R108" s="12">
        <v>-0.2199663959675161</v>
      </c>
    </row>
    <row r="109" spans="1:18" x14ac:dyDescent="0.2">
      <c r="A109" s="5">
        <v>43488</v>
      </c>
      <c r="B109" s="11">
        <v>48630</v>
      </c>
      <c r="C109" s="11">
        <v>2349</v>
      </c>
      <c r="D109" s="11">
        <v>50979</v>
      </c>
      <c r="F109" s="5">
        <v>44219</v>
      </c>
      <c r="G109" s="11">
        <v>29946</v>
      </c>
      <c r="H109" s="11">
        <v>384</v>
      </c>
      <c r="I109" s="11">
        <v>30330</v>
      </c>
      <c r="K109" s="5">
        <v>43491</v>
      </c>
      <c r="L109" s="5">
        <v>44219</v>
      </c>
      <c r="M109" s="11">
        <v>-16845</v>
      </c>
      <c r="N109" s="11">
        <v>-235</v>
      </c>
      <c r="O109" s="11">
        <v>-17080</v>
      </c>
      <c r="P109" s="8">
        <v>-0.36000512919151118</v>
      </c>
      <c r="Q109" s="8">
        <v>-0.37964458804523427</v>
      </c>
      <c r="R109" s="12">
        <v>-0.36026154819658296</v>
      </c>
    </row>
    <row r="110" spans="1:18" x14ac:dyDescent="0.2">
      <c r="A110" s="5">
        <v>43489</v>
      </c>
      <c r="B110" s="11">
        <v>51595</v>
      </c>
      <c r="C110" s="11">
        <v>2397</v>
      </c>
      <c r="D110" s="11">
        <v>53992</v>
      </c>
      <c r="F110" s="5">
        <v>44220</v>
      </c>
      <c r="G110" s="11">
        <v>32867</v>
      </c>
      <c r="H110" s="11">
        <v>105</v>
      </c>
      <c r="I110" s="11">
        <v>32972</v>
      </c>
      <c r="K110" s="5">
        <v>43492</v>
      </c>
      <c r="L110" s="5">
        <v>44220</v>
      </c>
      <c r="M110" s="11">
        <v>-3757</v>
      </c>
      <c r="N110" s="11">
        <v>-67</v>
      </c>
      <c r="O110" s="11">
        <v>-3824</v>
      </c>
      <c r="P110" s="8">
        <v>-0.10258300567933598</v>
      </c>
      <c r="Q110" s="8">
        <v>-0.38953488372093026</v>
      </c>
      <c r="R110" s="12">
        <v>-0.10392433960213066</v>
      </c>
    </row>
    <row r="111" spans="1:18" x14ac:dyDescent="0.2">
      <c r="A111" s="5">
        <v>43490</v>
      </c>
      <c r="B111" s="11">
        <v>54957</v>
      </c>
      <c r="C111" s="11">
        <v>2179</v>
      </c>
      <c r="D111" s="11">
        <v>57136</v>
      </c>
      <c r="F111" s="5">
        <v>44221</v>
      </c>
      <c r="G111" s="11">
        <v>37506</v>
      </c>
      <c r="H111" s="11">
        <v>1950</v>
      </c>
      <c r="I111" s="11">
        <v>39456</v>
      </c>
      <c r="K111" s="5">
        <v>43493</v>
      </c>
      <c r="L111" s="5">
        <v>44221</v>
      </c>
      <c r="M111" s="11">
        <f t="shared" ref="M111:M113" si="16">G111-B114</f>
        <v>-10671</v>
      </c>
      <c r="N111" s="11">
        <f t="shared" ref="N111:N113" si="17">H111-C114</f>
        <v>-419</v>
      </c>
      <c r="O111" s="11">
        <f t="shared" ref="O111:O113" si="18">I111-D114</f>
        <v>-11090</v>
      </c>
      <c r="P111" s="8">
        <f t="shared" ref="P111:P113" si="19">G111/B114-1</f>
        <v>-0.22149573447910831</v>
      </c>
      <c r="Q111" s="8">
        <f t="shared" ref="Q111:Q113" si="20">H111/C114-1</f>
        <v>-0.17686787674124105</v>
      </c>
      <c r="R111" s="12">
        <f t="shared" ref="R111:R113" si="21">I111/D114-1</f>
        <v>-0.21940410714992287</v>
      </c>
    </row>
    <row r="112" spans="1:18" x14ac:dyDescent="0.2">
      <c r="A112" s="5">
        <v>43491</v>
      </c>
      <c r="B112" s="11">
        <v>46791</v>
      </c>
      <c r="C112" s="11">
        <v>619</v>
      </c>
      <c r="D112" s="11">
        <v>47410</v>
      </c>
      <c r="F112" s="5">
        <v>44222</v>
      </c>
      <c r="G112" s="11">
        <v>42630</v>
      </c>
      <c r="H112" s="11">
        <v>2083</v>
      </c>
      <c r="I112" s="11">
        <v>44713</v>
      </c>
      <c r="K112" s="5">
        <v>43494</v>
      </c>
      <c r="L112" s="5">
        <v>44222</v>
      </c>
      <c r="M112" s="11">
        <f t="shared" si="16"/>
        <v>-6077</v>
      </c>
      <c r="N112" s="11">
        <f t="shared" si="17"/>
        <v>-211</v>
      </c>
      <c r="O112" s="11">
        <f t="shared" si="18"/>
        <v>-6288</v>
      </c>
      <c r="P112" s="8">
        <f t="shared" si="19"/>
        <v>-0.1247664606730039</v>
      </c>
      <c r="Q112" s="8">
        <f t="shared" si="20"/>
        <v>-9.1979075850043612E-2</v>
      </c>
      <c r="R112" s="12">
        <f t="shared" si="21"/>
        <v>-0.12329170016274194</v>
      </c>
    </row>
    <row r="113" spans="1:18" x14ac:dyDescent="0.2">
      <c r="A113" s="5">
        <v>43492</v>
      </c>
      <c r="B113" s="11">
        <v>36624</v>
      </c>
      <c r="C113" s="11">
        <v>172</v>
      </c>
      <c r="D113" s="11">
        <v>36796</v>
      </c>
      <c r="F113" s="5">
        <v>44223</v>
      </c>
      <c r="G113" s="11">
        <v>41846</v>
      </c>
      <c r="H113" s="11">
        <v>2152</v>
      </c>
      <c r="I113" s="11">
        <v>43998</v>
      </c>
      <c r="K113" s="5">
        <v>43495</v>
      </c>
      <c r="L113" s="5">
        <v>44223</v>
      </c>
      <c r="M113" s="11">
        <f t="shared" si="16"/>
        <v>-6047</v>
      </c>
      <c r="N113" s="11">
        <f t="shared" si="17"/>
        <v>-46</v>
      </c>
      <c r="O113" s="11">
        <f t="shared" si="18"/>
        <v>-6093</v>
      </c>
      <c r="P113" s="8">
        <f t="shared" si="19"/>
        <v>-0.12626062263796378</v>
      </c>
      <c r="Q113" s="8">
        <f t="shared" si="20"/>
        <v>-2.0928116469517755E-2</v>
      </c>
      <c r="R113" s="12">
        <f t="shared" si="21"/>
        <v>-0.12163861771575735</v>
      </c>
    </row>
    <row r="114" spans="1:18" x14ac:dyDescent="0.2">
      <c r="A114" s="5">
        <v>43493</v>
      </c>
      <c r="B114" s="11">
        <v>48177</v>
      </c>
      <c r="C114" s="11">
        <v>2369</v>
      </c>
      <c r="D114" s="11">
        <v>50546</v>
      </c>
      <c r="F114" s="5">
        <v>44224</v>
      </c>
      <c r="G114" s="11">
        <v>41957</v>
      </c>
      <c r="H114" s="11">
        <v>2105</v>
      </c>
      <c r="I114" s="11">
        <v>44062</v>
      </c>
      <c r="K114" s="5">
        <v>43496</v>
      </c>
      <c r="L114" s="5">
        <v>44224</v>
      </c>
      <c r="M114" s="11">
        <f t="shared" ref="M114:M117" si="22">G114-B117</f>
        <v>-7409</v>
      </c>
      <c r="N114" s="11">
        <f t="shared" ref="N114:N117" si="23">H114-C117</f>
        <v>-198</v>
      </c>
      <c r="O114" s="11">
        <f t="shared" ref="O114:O117" si="24">I114-D117</f>
        <v>-7607</v>
      </c>
      <c r="P114" s="8">
        <f t="shared" ref="P114:P117" si="25">G114/B117-1</f>
        <v>-0.15008305311347891</v>
      </c>
      <c r="Q114" s="8">
        <f t="shared" ref="Q114:Q117" si="26">H114/C117-1</f>
        <v>-8.5974815458098153E-2</v>
      </c>
      <c r="R114" s="12">
        <f t="shared" ref="R114:R117" si="27">I114/D117-1</f>
        <v>-0.14722560916603766</v>
      </c>
    </row>
    <row r="115" spans="1:18" x14ac:dyDescent="0.2">
      <c r="A115" s="5">
        <v>43494</v>
      </c>
      <c r="B115" s="11">
        <v>48707</v>
      </c>
      <c r="C115" s="11">
        <v>2294</v>
      </c>
      <c r="D115" s="11">
        <v>51001</v>
      </c>
      <c r="F115" s="5">
        <v>44225</v>
      </c>
      <c r="G115" s="11">
        <v>43663</v>
      </c>
      <c r="H115" s="11">
        <v>1798</v>
      </c>
      <c r="I115" s="11">
        <v>45461</v>
      </c>
      <c r="K115" s="5">
        <v>43497</v>
      </c>
      <c r="L115" s="5">
        <v>44225</v>
      </c>
      <c r="M115" s="11">
        <f t="shared" si="22"/>
        <v>-5467</v>
      </c>
      <c r="N115" s="11">
        <f t="shared" si="23"/>
        <v>-256</v>
      </c>
      <c r="O115" s="11">
        <f t="shared" si="24"/>
        <v>-5723</v>
      </c>
      <c r="P115" s="8">
        <f t="shared" si="25"/>
        <v>-0.1112762059841238</v>
      </c>
      <c r="Q115" s="8">
        <f t="shared" si="26"/>
        <v>-0.12463485881207403</v>
      </c>
      <c r="R115" s="12">
        <f t="shared" si="27"/>
        <v>-0.11181228508909036</v>
      </c>
    </row>
    <row r="116" spans="1:18" x14ac:dyDescent="0.2">
      <c r="A116" s="5">
        <v>43495</v>
      </c>
      <c r="B116" s="11">
        <v>47893</v>
      </c>
      <c r="C116" s="11">
        <v>2198</v>
      </c>
      <c r="D116" s="11">
        <v>50091</v>
      </c>
      <c r="F116" s="5">
        <v>44226</v>
      </c>
      <c r="G116" s="11">
        <v>31394</v>
      </c>
      <c r="H116" s="11">
        <v>387</v>
      </c>
      <c r="I116" s="11">
        <v>31781</v>
      </c>
      <c r="K116" s="5">
        <v>43498</v>
      </c>
      <c r="L116" s="5">
        <v>44226</v>
      </c>
      <c r="M116" s="11">
        <f t="shared" si="22"/>
        <v>-12958</v>
      </c>
      <c r="N116" s="11">
        <f t="shared" si="23"/>
        <v>-182</v>
      </c>
      <c r="O116" s="11">
        <f t="shared" si="24"/>
        <v>-13140</v>
      </c>
      <c r="P116" s="8">
        <f t="shared" si="25"/>
        <v>-0.29216269841269837</v>
      </c>
      <c r="Q116" s="8">
        <f t="shared" si="26"/>
        <v>-0.31985940246045697</v>
      </c>
      <c r="R116" s="12">
        <f t="shared" si="27"/>
        <v>-0.29251352374167983</v>
      </c>
    </row>
    <row r="117" spans="1:18" x14ac:dyDescent="0.2">
      <c r="A117" s="5">
        <v>43496</v>
      </c>
      <c r="B117" s="11">
        <v>49366</v>
      </c>
      <c r="C117" s="11">
        <v>2303</v>
      </c>
      <c r="D117" s="11">
        <v>51669</v>
      </c>
      <c r="F117" s="5">
        <v>44227</v>
      </c>
      <c r="G117" s="11">
        <v>31646</v>
      </c>
      <c r="H117" s="11">
        <v>97</v>
      </c>
      <c r="I117" s="11">
        <v>31743</v>
      </c>
      <c r="K117" s="5">
        <v>43499</v>
      </c>
      <c r="L117" s="5">
        <v>44227</v>
      </c>
      <c r="M117" s="11">
        <f t="shared" si="22"/>
        <v>-3378</v>
      </c>
      <c r="N117" s="11">
        <f t="shared" si="23"/>
        <v>-71</v>
      </c>
      <c r="O117" s="11">
        <f t="shared" si="24"/>
        <v>-3449</v>
      </c>
      <c r="P117" s="8">
        <f t="shared" si="25"/>
        <v>-9.6448149840109632E-2</v>
      </c>
      <c r="Q117" s="8">
        <f t="shared" si="26"/>
        <v>-0.42261904761904767</v>
      </c>
      <c r="R117" s="12">
        <f t="shared" si="27"/>
        <v>-9.8005228461013894E-2</v>
      </c>
    </row>
    <row r="118" spans="1:18" x14ac:dyDescent="0.2">
      <c r="A118" s="5">
        <v>43497</v>
      </c>
      <c r="B118" s="11">
        <v>49130</v>
      </c>
      <c r="C118" s="11">
        <v>2054</v>
      </c>
      <c r="D118" s="11">
        <v>51184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2">
      <c r="A119" s="5">
        <v>43498</v>
      </c>
      <c r="B119" s="11">
        <v>44352</v>
      </c>
      <c r="C119" s="11">
        <v>569</v>
      </c>
      <c r="D119" s="11">
        <v>44921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2">
      <c r="A120" s="5">
        <v>43499</v>
      </c>
      <c r="B120" s="11">
        <v>35024</v>
      </c>
      <c r="C120" s="11">
        <v>168</v>
      </c>
      <c r="D120" s="11">
        <v>35192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</sheetData>
  <mergeCells count="11">
    <mergeCell ref="A6:D6"/>
    <mergeCell ref="A7:C7"/>
    <mergeCell ref="A9:A10"/>
    <mergeCell ref="F9:F10"/>
    <mergeCell ref="K9:L10"/>
    <mergeCell ref="A85:A86"/>
    <mergeCell ref="F85:F86"/>
    <mergeCell ref="K85:L86"/>
    <mergeCell ref="A47:A48"/>
    <mergeCell ref="F47:F48"/>
    <mergeCell ref="K47:L48"/>
  </mergeCells>
  <pageMargins left="0.7" right="0.7" top="0.78740157499999996" bottom="0.78740157499999996" header="0.3" footer="0.3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R120"/>
  <sheetViews>
    <sheetView zoomScale="70" zoomScaleNormal="70" workbookViewId="0"/>
  </sheetViews>
  <sheetFormatPr baseColWidth="10" defaultRowHeight="12.75" x14ac:dyDescent="0.2"/>
  <cols>
    <col min="1" max="1" width="29.42578125" customWidth="1"/>
    <col min="2" max="2" width="12.85546875" bestFit="1" customWidth="1"/>
    <col min="3" max="3" width="7.42578125" bestFit="1" customWidth="1"/>
    <col min="4" max="4" width="15.85546875" bestFit="1" customWidth="1"/>
    <col min="5" max="5" width="1.140625" customWidth="1"/>
    <col min="6" max="6" width="30" customWidth="1"/>
    <col min="7" max="7" width="12.85546875" bestFit="1" customWidth="1"/>
    <col min="8" max="8" width="7.42578125" bestFit="1" customWidth="1"/>
    <col min="9" max="9" width="15.85546875" bestFit="1" customWidth="1"/>
    <col min="10" max="10" width="0.85546875" customWidth="1"/>
    <col min="11" max="11" width="29.42578125" customWidth="1"/>
    <col min="12" max="12" width="29.5703125" customWidth="1"/>
    <col min="13" max="13" width="12.85546875" bestFit="1" customWidth="1"/>
    <col min="14" max="14" width="7.42578125" bestFit="1" customWidth="1"/>
    <col min="15" max="15" width="15.85546875" bestFit="1" customWidth="1"/>
    <col min="16" max="16" width="12.85546875" bestFit="1" customWidth="1"/>
    <col min="17" max="17" width="7.140625" bestFit="1" customWidth="1"/>
    <col min="18" max="18" width="15.85546875" style="9" bestFit="1" customWidth="1"/>
  </cols>
  <sheetData>
    <row r="1" spans="1:18" ht="15.75" x14ac:dyDescent="0.25">
      <c r="A1" s="10" t="s">
        <v>43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1" t="s">
        <v>47</v>
      </c>
      <c r="B6" s="22"/>
      <c r="C6" s="22"/>
      <c r="D6" s="22"/>
      <c r="E6" s="17"/>
      <c r="F6" s="17"/>
      <c r="G6" s="17"/>
    </row>
    <row r="7" spans="1:18" ht="15" x14ac:dyDescent="0.2">
      <c r="A7" s="21" t="s">
        <v>48</v>
      </c>
      <c r="B7" s="22"/>
      <c r="C7" s="22"/>
    </row>
    <row r="9" spans="1:18" ht="12.95" customHeight="1" x14ac:dyDescent="0.2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5" customHeight="1" x14ac:dyDescent="0.2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">
      <c r="A11" s="5">
        <v>43466</v>
      </c>
      <c r="B11" s="11">
        <v>56938</v>
      </c>
      <c r="C11" s="11">
        <v>195</v>
      </c>
      <c r="D11" s="11">
        <v>57133</v>
      </c>
      <c r="F11" s="5">
        <v>44197</v>
      </c>
      <c r="G11" s="11">
        <v>43162</v>
      </c>
      <c r="H11" s="11">
        <v>137</v>
      </c>
      <c r="I11" s="11">
        <v>43299</v>
      </c>
      <c r="K11" s="5">
        <v>43469</v>
      </c>
      <c r="L11" s="5">
        <v>44197</v>
      </c>
      <c r="M11" s="11">
        <v>-34029</v>
      </c>
      <c r="N11" s="11">
        <v>-3293</v>
      </c>
      <c r="O11" s="11">
        <v>-37322</v>
      </c>
      <c r="P11" s="8">
        <v>-0.44084154888523275</v>
      </c>
      <c r="Q11" s="8">
        <v>-0.9600583090379009</v>
      </c>
      <c r="R11" s="12">
        <v>-0.46293149427568503</v>
      </c>
    </row>
    <row r="12" spans="1:18" x14ac:dyDescent="0.2">
      <c r="A12" s="5">
        <v>43467</v>
      </c>
      <c r="B12" s="11">
        <v>64233</v>
      </c>
      <c r="C12" s="11">
        <v>1031</v>
      </c>
      <c r="D12" s="11">
        <v>65264</v>
      </c>
      <c r="F12" s="5">
        <v>44198</v>
      </c>
      <c r="G12" s="11">
        <v>63336</v>
      </c>
      <c r="H12" s="11">
        <v>569</v>
      </c>
      <c r="I12" s="11">
        <v>63905</v>
      </c>
      <c r="K12" s="5">
        <v>43470</v>
      </c>
      <c r="L12" s="5">
        <v>44198</v>
      </c>
      <c r="M12" s="11">
        <v>-131</v>
      </c>
      <c r="N12" s="11">
        <v>-371</v>
      </c>
      <c r="O12" s="11">
        <v>-502</v>
      </c>
      <c r="P12" s="8">
        <v>-2.0640647895756592E-3</v>
      </c>
      <c r="Q12" s="8">
        <v>-0.39468085106382977</v>
      </c>
      <c r="R12" s="12">
        <v>-7.7941838620025905E-3</v>
      </c>
    </row>
    <row r="13" spans="1:18" x14ac:dyDescent="0.2">
      <c r="A13" s="5">
        <v>43468</v>
      </c>
      <c r="B13" s="11">
        <v>72558</v>
      </c>
      <c r="C13" s="11">
        <v>3442</v>
      </c>
      <c r="D13" s="11">
        <v>76000</v>
      </c>
      <c r="F13" s="5">
        <v>44199</v>
      </c>
      <c r="G13" s="11">
        <v>52657</v>
      </c>
      <c r="H13" s="11">
        <v>173</v>
      </c>
      <c r="I13" s="11">
        <v>52830</v>
      </c>
      <c r="K13" s="5">
        <v>43471</v>
      </c>
      <c r="L13" s="5">
        <v>44199</v>
      </c>
      <c r="M13" s="11">
        <v>-3754</v>
      </c>
      <c r="N13" s="11">
        <v>-60</v>
      </c>
      <c r="O13" s="11">
        <v>-3814</v>
      </c>
      <c r="P13" s="8">
        <v>-6.6547304603712054E-2</v>
      </c>
      <c r="Q13" s="8">
        <v>-0.25751072961373389</v>
      </c>
      <c r="R13" s="12">
        <v>-6.7332815479132835E-2</v>
      </c>
    </row>
    <row r="14" spans="1:18" x14ac:dyDescent="0.2">
      <c r="A14" s="5">
        <v>43469</v>
      </c>
      <c r="B14" s="11">
        <v>77191</v>
      </c>
      <c r="C14" s="11">
        <v>3430</v>
      </c>
      <c r="D14" s="11">
        <v>80621</v>
      </c>
      <c r="F14" s="5">
        <v>44200</v>
      </c>
      <c r="G14" s="11">
        <v>62722</v>
      </c>
      <c r="H14" s="11">
        <v>3250</v>
      </c>
      <c r="I14" s="11">
        <v>65972</v>
      </c>
      <c r="K14" s="5">
        <v>43472</v>
      </c>
      <c r="L14" s="5">
        <v>44200</v>
      </c>
      <c r="M14" s="11">
        <v>-11153</v>
      </c>
      <c r="N14" s="11">
        <v>-1331</v>
      </c>
      <c r="O14" s="11">
        <v>-12484</v>
      </c>
      <c r="P14" s="8">
        <v>-0.15097123519458544</v>
      </c>
      <c r="Q14" s="8">
        <v>-0.2905479153023357</v>
      </c>
      <c r="R14" s="12">
        <v>-0.15912103599469762</v>
      </c>
    </row>
    <row r="15" spans="1:18" x14ac:dyDescent="0.2">
      <c r="A15" s="5">
        <v>43470</v>
      </c>
      <c r="B15" s="11">
        <v>63467</v>
      </c>
      <c r="C15" s="11">
        <v>940</v>
      </c>
      <c r="D15" s="11">
        <v>64407</v>
      </c>
      <c r="F15" s="5">
        <v>44201</v>
      </c>
      <c r="G15" s="11">
        <v>65383</v>
      </c>
      <c r="H15" s="11">
        <v>3903</v>
      </c>
      <c r="I15" s="11">
        <v>69286</v>
      </c>
      <c r="K15" s="5">
        <v>43473</v>
      </c>
      <c r="L15" s="5">
        <v>44201</v>
      </c>
      <c r="M15" s="11">
        <v>-9622</v>
      </c>
      <c r="N15" s="11">
        <v>-1073</v>
      </c>
      <c r="O15" s="11">
        <v>-10695</v>
      </c>
      <c r="P15" s="8">
        <v>-0.12828478101459906</v>
      </c>
      <c r="Q15" s="8">
        <v>-0.21563504823151125</v>
      </c>
      <c r="R15" s="12">
        <v>-0.1337192583238519</v>
      </c>
    </row>
    <row r="16" spans="1:18" x14ac:dyDescent="0.2">
      <c r="A16" s="5">
        <v>43471</v>
      </c>
      <c r="B16" s="11">
        <v>56411</v>
      </c>
      <c r="C16" s="11">
        <v>233</v>
      </c>
      <c r="D16" s="11">
        <v>56644</v>
      </c>
      <c r="F16" s="5">
        <v>44202</v>
      </c>
      <c r="G16" s="11">
        <v>64948</v>
      </c>
      <c r="H16" s="11">
        <v>3612</v>
      </c>
      <c r="I16" s="11">
        <v>68560</v>
      </c>
      <c r="K16" s="5">
        <v>43474</v>
      </c>
      <c r="L16" s="5">
        <v>44202</v>
      </c>
      <c r="M16" s="11">
        <v>-11076</v>
      </c>
      <c r="N16" s="11">
        <v>-1601</v>
      </c>
      <c r="O16" s="11">
        <v>-12677</v>
      </c>
      <c r="P16" s="8">
        <v>-0.1456908344733242</v>
      </c>
      <c r="Q16" s="8">
        <v>-0.30711682332629964</v>
      </c>
      <c r="R16" s="12">
        <v>-0.15604958331794627</v>
      </c>
    </row>
    <row r="17" spans="1:18" x14ac:dyDescent="0.2">
      <c r="A17" s="5">
        <v>43472</v>
      </c>
      <c r="B17" s="11">
        <v>73875</v>
      </c>
      <c r="C17" s="11">
        <v>4581</v>
      </c>
      <c r="D17" s="11">
        <v>78456</v>
      </c>
      <c r="F17" s="5">
        <v>44203</v>
      </c>
      <c r="G17" s="11">
        <v>69362</v>
      </c>
      <c r="H17" s="11">
        <v>4353</v>
      </c>
      <c r="I17" s="11">
        <v>73715</v>
      </c>
      <c r="K17" s="5">
        <v>43475</v>
      </c>
      <c r="L17" s="5">
        <v>44203</v>
      </c>
      <c r="M17" s="11">
        <v>-5457</v>
      </c>
      <c r="N17" s="11">
        <v>-877</v>
      </c>
      <c r="O17" s="11">
        <v>-6334</v>
      </c>
      <c r="P17" s="8">
        <v>-7.2936018925673918E-2</v>
      </c>
      <c r="Q17" s="8">
        <v>-0.16768642447418736</v>
      </c>
      <c r="R17" s="12">
        <v>-7.9126534997314146E-2</v>
      </c>
    </row>
    <row r="18" spans="1:18" x14ac:dyDescent="0.2">
      <c r="A18" s="5">
        <v>43473</v>
      </c>
      <c r="B18" s="11">
        <v>75005</v>
      </c>
      <c r="C18" s="11">
        <v>4976</v>
      </c>
      <c r="D18" s="11">
        <v>79981</v>
      </c>
      <c r="F18" s="5">
        <v>44204</v>
      </c>
      <c r="G18" s="11">
        <v>72834</v>
      </c>
      <c r="H18" s="11">
        <v>4410</v>
      </c>
      <c r="I18" s="11">
        <v>77244</v>
      </c>
      <c r="K18" s="5">
        <v>43476</v>
      </c>
      <c r="L18" s="5">
        <v>44204</v>
      </c>
      <c r="M18" s="11">
        <v>-11263</v>
      </c>
      <c r="N18" s="11">
        <v>-531</v>
      </c>
      <c r="O18" s="11">
        <v>-11794</v>
      </c>
      <c r="P18" s="8">
        <v>-0.13392867759848748</v>
      </c>
      <c r="Q18" s="8">
        <v>-0.10746812386156646</v>
      </c>
      <c r="R18" s="12">
        <v>-0.13246029785035607</v>
      </c>
    </row>
    <row r="19" spans="1:18" x14ac:dyDescent="0.2">
      <c r="A19" s="5">
        <v>43474</v>
      </c>
      <c r="B19" s="11">
        <v>76024</v>
      </c>
      <c r="C19" s="11">
        <v>5213</v>
      </c>
      <c r="D19" s="11">
        <v>81237</v>
      </c>
      <c r="F19" s="5">
        <v>44205</v>
      </c>
      <c r="G19" s="11">
        <v>67592</v>
      </c>
      <c r="H19" s="11">
        <v>866</v>
      </c>
      <c r="I19" s="11">
        <v>68458</v>
      </c>
      <c r="K19" s="5">
        <v>43477</v>
      </c>
      <c r="L19" s="5">
        <v>44205</v>
      </c>
      <c r="M19" s="11">
        <v>-7019</v>
      </c>
      <c r="N19" s="11">
        <v>-163</v>
      </c>
      <c r="O19" s="11">
        <v>-7182</v>
      </c>
      <c r="P19" s="8">
        <v>-9.407460026001524E-2</v>
      </c>
      <c r="Q19" s="8">
        <v>-0.15840621963070944</v>
      </c>
      <c r="R19" s="12">
        <v>-9.4949762030671625E-2</v>
      </c>
    </row>
    <row r="20" spans="1:18" x14ac:dyDescent="0.2">
      <c r="A20" s="5">
        <v>43475</v>
      </c>
      <c r="B20" s="11">
        <v>74819</v>
      </c>
      <c r="C20" s="11">
        <v>5230</v>
      </c>
      <c r="D20" s="11">
        <v>80049</v>
      </c>
      <c r="F20" s="5">
        <v>44206</v>
      </c>
      <c r="G20" s="11">
        <v>59176</v>
      </c>
      <c r="H20" s="11">
        <v>190</v>
      </c>
      <c r="I20" s="11">
        <v>59366</v>
      </c>
      <c r="K20" s="5">
        <v>43478</v>
      </c>
      <c r="L20" s="5">
        <v>44206</v>
      </c>
      <c r="M20" s="11">
        <v>-935</v>
      </c>
      <c r="N20" s="11">
        <v>-66</v>
      </c>
      <c r="O20" s="11">
        <v>-1001</v>
      </c>
      <c r="P20" s="8">
        <v>-1.5554557402139402E-2</v>
      </c>
      <c r="Q20" s="8">
        <v>-0.2578125</v>
      </c>
      <c r="R20" s="12">
        <v>-1.6581907333476864E-2</v>
      </c>
    </row>
    <row r="21" spans="1:18" x14ac:dyDescent="0.2">
      <c r="A21" s="5">
        <v>43476</v>
      </c>
      <c r="B21" s="11">
        <v>84097</v>
      </c>
      <c r="C21" s="11">
        <v>4941</v>
      </c>
      <c r="D21" s="11">
        <v>89038</v>
      </c>
      <c r="F21" s="5">
        <v>44207</v>
      </c>
      <c r="G21" s="11">
        <v>68743</v>
      </c>
      <c r="H21" s="11">
        <v>4643</v>
      </c>
      <c r="I21" s="11">
        <v>73386</v>
      </c>
      <c r="K21" s="5">
        <v>43479</v>
      </c>
      <c r="L21" s="5">
        <v>44207</v>
      </c>
      <c r="M21" s="11">
        <v>-9101</v>
      </c>
      <c r="N21" s="11">
        <v>-714</v>
      </c>
      <c r="O21" s="11">
        <v>-9815</v>
      </c>
      <c r="P21" s="8">
        <v>-0.11691331380710135</v>
      </c>
      <c r="Q21" s="8">
        <v>-0.13328355422811278</v>
      </c>
      <c r="R21" s="12">
        <v>-0.11796733212341193</v>
      </c>
    </row>
    <row r="22" spans="1:18" x14ac:dyDescent="0.2">
      <c r="A22" s="5">
        <v>43477</v>
      </c>
      <c r="B22" s="11">
        <v>74611</v>
      </c>
      <c r="C22" s="11">
        <v>1029</v>
      </c>
      <c r="D22" s="11">
        <v>75640</v>
      </c>
      <c r="F22" s="5">
        <v>44208</v>
      </c>
      <c r="G22" s="11">
        <v>64960</v>
      </c>
      <c r="H22" s="11">
        <v>5237</v>
      </c>
      <c r="I22" s="11">
        <v>70197</v>
      </c>
      <c r="K22" s="5">
        <v>43480</v>
      </c>
      <c r="L22" s="5">
        <v>44208</v>
      </c>
      <c r="M22" s="11">
        <v>-16187</v>
      </c>
      <c r="N22" s="11">
        <v>-441</v>
      </c>
      <c r="O22" s="11">
        <v>-16628</v>
      </c>
      <c r="P22" s="8">
        <v>-0.19947749146610472</v>
      </c>
      <c r="Q22" s="8">
        <v>-7.7668193025713261E-2</v>
      </c>
      <c r="R22" s="12">
        <v>-0.19151166138784914</v>
      </c>
    </row>
    <row r="23" spans="1:18" x14ac:dyDescent="0.2">
      <c r="A23" s="5">
        <v>43478</v>
      </c>
      <c r="B23" s="11">
        <v>60111</v>
      </c>
      <c r="C23" s="11">
        <v>256</v>
      </c>
      <c r="D23" s="11">
        <v>60367</v>
      </c>
      <c r="F23" s="5">
        <v>44209</v>
      </c>
      <c r="G23" s="11">
        <v>68183</v>
      </c>
      <c r="H23" s="11">
        <v>5211</v>
      </c>
      <c r="I23" s="11">
        <v>73394</v>
      </c>
      <c r="K23" s="5">
        <v>43481</v>
      </c>
      <c r="L23" s="5">
        <v>44209</v>
      </c>
      <c r="M23" s="11">
        <v>-16954</v>
      </c>
      <c r="N23" s="11">
        <v>-690</v>
      </c>
      <c r="O23" s="11">
        <v>-17644</v>
      </c>
      <c r="P23" s="8">
        <v>-0.19913786015480928</v>
      </c>
      <c r="Q23" s="8">
        <v>-0.11692933401118455</v>
      </c>
      <c r="R23" s="12">
        <v>-0.19380917858476676</v>
      </c>
    </row>
    <row r="24" spans="1:18" x14ac:dyDescent="0.2">
      <c r="A24" s="5">
        <v>43479</v>
      </c>
      <c r="B24" s="11">
        <v>77844</v>
      </c>
      <c r="C24" s="11">
        <v>5357</v>
      </c>
      <c r="D24" s="11">
        <v>83201</v>
      </c>
      <c r="F24" s="5">
        <v>44210</v>
      </c>
      <c r="G24" s="11">
        <v>57894</v>
      </c>
      <c r="H24" s="11">
        <v>4929</v>
      </c>
      <c r="I24" s="11">
        <v>62823</v>
      </c>
      <c r="K24" s="5">
        <v>43482</v>
      </c>
      <c r="L24" s="5">
        <v>44210</v>
      </c>
      <c r="M24" s="11">
        <v>-25916</v>
      </c>
      <c r="N24" s="11">
        <v>-988</v>
      </c>
      <c r="O24" s="11">
        <v>-26904</v>
      </c>
      <c r="P24" s="8">
        <v>-0.30922324304975535</v>
      </c>
      <c r="Q24" s="8">
        <v>-0.16697650836572586</v>
      </c>
      <c r="R24" s="12">
        <v>-0.29984285666521782</v>
      </c>
    </row>
    <row r="25" spans="1:18" x14ac:dyDescent="0.2">
      <c r="A25" s="5">
        <v>43480</v>
      </c>
      <c r="B25" s="11">
        <v>81147</v>
      </c>
      <c r="C25" s="11">
        <v>5678</v>
      </c>
      <c r="D25" s="11">
        <v>86825</v>
      </c>
      <c r="F25" s="5">
        <v>44211</v>
      </c>
      <c r="G25" s="11">
        <v>52952</v>
      </c>
      <c r="H25" s="11">
        <v>4298</v>
      </c>
      <c r="I25" s="11">
        <v>57250</v>
      </c>
      <c r="K25" s="5">
        <v>43483</v>
      </c>
      <c r="L25" s="5">
        <v>44211</v>
      </c>
      <c r="M25" s="11">
        <v>-37233</v>
      </c>
      <c r="N25" s="11">
        <v>-1052</v>
      </c>
      <c r="O25" s="11">
        <v>-38285</v>
      </c>
      <c r="P25" s="8">
        <v>-0.41285136109109055</v>
      </c>
      <c r="Q25" s="8">
        <v>-0.19663551401869162</v>
      </c>
      <c r="R25" s="12">
        <v>-0.40074318312660284</v>
      </c>
    </row>
    <row r="26" spans="1:18" x14ac:dyDescent="0.2">
      <c r="A26" s="5">
        <v>43481</v>
      </c>
      <c r="B26" s="11">
        <v>85137</v>
      </c>
      <c r="C26" s="11">
        <v>5901</v>
      </c>
      <c r="D26" s="11">
        <v>91038</v>
      </c>
      <c r="F26" s="5">
        <v>44212</v>
      </c>
      <c r="G26" s="11">
        <v>59300</v>
      </c>
      <c r="H26" s="11">
        <v>1195</v>
      </c>
      <c r="I26" s="11">
        <v>60495</v>
      </c>
      <c r="K26" s="5">
        <v>43484</v>
      </c>
      <c r="L26" s="5">
        <v>44212</v>
      </c>
      <c r="M26" s="11">
        <v>-22624</v>
      </c>
      <c r="N26" s="11">
        <v>128</v>
      </c>
      <c r="O26" s="11">
        <v>-22496</v>
      </c>
      <c r="P26" s="8">
        <v>-0.27615839070357895</v>
      </c>
      <c r="Q26" s="8">
        <v>0.11996251171508909</v>
      </c>
      <c r="R26" s="12">
        <v>-0.27106553722692817</v>
      </c>
    </row>
    <row r="27" spans="1:18" x14ac:dyDescent="0.2">
      <c r="A27" s="5">
        <v>43482</v>
      </c>
      <c r="B27" s="11">
        <v>83810</v>
      </c>
      <c r="C27" s="11">
        <v>5917</v>
      </c>
      <c r="D27" s="11">
        <v>89727</v>
      </c>
      <c r="F27" s="5">
        <v>44213</v>
      </c>
      <c r="G27" s="11">
        <v>38815</v>
      </c>
      <c r="H27" s="11">
        <v>191</v>
      </c>
      <c r="I27" s="11">
        <v>39006</v>
      </c>
      <c r="K27" s="5">
        <v>43485</v>
      </c>
      <c r="L27" s="5">
        <v>44213</v>
      </c>
      <c r="M27" s="11">
        <v>-29360</v>
      </c>
      <c r="N27" s="11">
        <v>-53</v>
      </c>
      <c r="O27" s="11">
        <v>-29413</v>
      </c>
      <c r="P27" s="8">
        <v>-0.4306563989732306</v>
      </c>
      <c r="Q27" s="8">
        <v>-0.21721311475409832</v>
      </c>
      <c r="R27" s="12">
        <v>-0.4298952045484441</v>
      </c>
    </row>
    <row r="28" spans="1:18" x14ac:dyDescent="0.2">
      <c r="A28" s="5">
        <v>43483</v>
      </c>
      <c r="B28" s="11">
        <v>90185</v>
      </c>
      <c r="C28" s="11">
        <v>5350</v>
      </c>
      <c r="D28" s="11">
        <v>95535</v>
      </c>
      <c r="F28" s="5">
        <v>44214</v>
      </c>
      <c r="G28" s="11">
        <v>62254</v>
      </c>
      <c r="H28" s="11">
        <v>5441</v>
      </c>
      <c r="I28" s="11">
        <v>67695</v>
      </c>
      <c r="K28" s="5">
        <v>43486</v>
      </c>
      <c r="L28" s="5">
        <v>44214</v>
      </c>
      <c r="M28" s="11">
        <v>-19021</v>
      </c>
      <c r="N28" s="11">
        <v>-21</v>
      </c>
      <c r="O28" s="11">
        <v>-19042</v>
      </c>
      <c r="P28" s="8">
        <v>-0.23403260535219927</v>
      </c>
      <c r="Q28" s="8">
        <v>-3.8447455144635656E-3</v>
      </c>
      <c r="R28" s="12">
        <v>-0.21953722171622259</v>
      </c>
    </row>
    <row r="29" spans="1:18" x14ac:dyDescent="0.2">
      <c r="A29" s="5">
        <v>43484</v>
      </c>
      <c r="B29" s="11">
        <v>81924</v>
      </c>
      <c r="C29" s="11">
        <v>1067</v>
      </c>
      <c r="D29" s="11">
        <v>82991</v>
      </c>
      <c r="F29" s="5">
        <v>44215</v>
      </c>
      <c r="G29" s="11">
        <v>66177</v>
      </c>
      <c r="H29" s="11">
        <v>5850</v>
      </c>
      <c r="I29" s="11">
        <v>72027</v>
      </c>
      <c r="K29" s="5">
        <v>43487</v>
      </c>
      <c r="L29" s="5">
        <v>44215</v>
      </c>
      <c r="M29" s="11">
        <v>-16989</v>
      </c>
      <c r="N29" s="11">
        <v>231</v>
      </c>
      <c r="O29" s="11">
        <v>-16758</v>
      </c>
      <c r="P29" s="8">
        <v>-0.20427819060673835</v>
      </c>
      <c r="Q29" s="8">
        <v>4.1110517885744713E-2</v>
      </c>
      <c r="R29" s="12">
        <v>-0.18874809934110492</v>
      </c>
    </row>
    <row r="30" spans="1:18" x14ac:dyDescent="0.2">
      <c r="A30" s="5">
        <v>43485</v>
      </c>
      <c r="B30" s="11">
        <v>68175</v>
      </c>
      <c r="C30" s="11">
        <v>244</v>
      </c>
      <c r="D30" s="11">
        <v>68419</v>
      </c>
      <c r="F30" s="5">
        <v>44216</v>
      </c>
      <c r="G30" s="11">
        <v>68934</v>
      </c>
      <c r="H30" s="11">
        <v>5914</v>
      </c>
      <c r="I30" s="11">
        <v>74848</v>
      </c>
      <c r="K30" s="5">
        <v>43488</v>
      </c>
      <c r="L30" s="5">
        <v>44216</v>
      </c>
      <c r="M30" s="11">
        <v>-15973</v>
      </c>
      <c r="N30" s="11">
        <v>259</v>
      </c>
      <c r="O30" s="11">
        <v>-15714</v>
      </c>
      <c r="P30" s="8">
        <v>-0.18812347627404102</v>
      </c>
      <c r="Q30" s="8">
        <v>4.5800176834659645E-2</v>
      </c>
      <c r="R30" s="12">
        <v>-0.17351648594333169</v>
      </c>
    </row>
    <row r="31" spans="1:18" x14ac:dyDescent="0.2">
      <c r="A31" s="5">
        <v>43486</v>
      </c>
      <c r="B31" s="11">
        <v>81275</v>
      </c>
      <c r="C31" s="11">
        <v>5462</v>
      </c>
      <c r="D31" s="11">
        <v>86737</v>
      </c>
      <c r="F31" s="5">
        <v>44217</v>
      </c>
      <c r="G31" s="11">
        <v>68959</v>
      </c>
      <c r="H31" s="11">
        <v>5881</v>
      </c>
      <c r="I31" s="11">
        <v>74840</v>
      </c>
      <c r="K31" s="5">
        <v>43489</v>
      </c>
      <c r="L31" s="5">
        <v>44217</v>
      </c>
      <c r="M31" s="11">
        <v>-15445</v>
      </c>
      <c r="N31" s="11">
        <v>393</v>
      </c>
      <c r="O31" s="11">
        <v>-15052</v>
      </c>
      <c r="P31" s="8">
        <v>-0.18298895786929525</v>
      </c>
      <c r="Q31" s="8">
        <v>7.1610787172011747E-2</v>
      </c>
      <c r="R31" s="12">
        <v>-0.16744537889912336</v>
      </c>
    </row>
    <row r="32" spans="1:18" x14ac:dyDescent="0.2">
      <c r="A32" s="5">
        <v>43487</v>
      </c>
      <c r="B32" s="11">
        <v>83166</v>
      </c>
      <c r="C32" s="11">
        <v>5619</v>
      </c>
      <c r="D32" s="11">
        <v>88785</v>
      </c>
      <c r="F32" s="5">
        <v>44218</v>
      </c>
      <c r="G32" s="11">
        <v>74862</v>
      </c>
      <c r="H32" s="11">
        <v>5436</v>
      </c>
      <c r="I32" s="11">
        <v>80298</v>
      </c>
      <c r="K32" s="5">
        <v>43490</v>
      </c>
      <c r="L32" s="5">
        <v>44218</v>
      </c>
      <c r="M32" s="11">
        <v>-17587</v>
      </c>
      <c r="N32" s="11">
        <v>191</v>
      </c>
      <c r="O32" s="11">
        <v>-17396</v>
      </c>
      <c r="P32" s="8">
        <v>-0.19023461584224821</v>
      </c>
      <c r="Q32" s="8">
        <v>3.6415633937082914E-2</v>
      </c>
      <c r="R32" s="12">
        <v>-0.17806620672712759</v>
      </c>
    </row>
    <row r="33" spans="1:18" x14ac:dyDescent="0.2">
      <c r="A33" s="5">
        <v>43488</v>
      </c>
      <c r="B33" s="11">
        <v>84907</v>
      </c>
      <c r="C33" s="11">
        <v>5655</v>
      </c>
      <c r="D33" s="11">
        <v>90562</v>
      </c>
      <c r="F33" s="5">
        <v>44219</v>
      </c>
      <c r="G33" s="11">
        <v>61461</v>
      </c>
      <c r="H33" s="11">
        <v>1023</v>
      </c>
      <c r="I33" s="11">
        <v>62484</v>
      </c>
      <c r="K33" s="5">
        <v>43491</v>
      </c>
      <c r="L33" s="5">
        <v>44219</v>
      </c>
      <c r="M33" s="11">
        <v>-22238</v>
      </c>
      <c r="N33" s="11">
        <v>-102</v>
      </c>
      <c r="O33" s="11">
        <v>-22340</v>
      </c>
      <c r="P33" s="8">
        <v>-0.26569015161471465</v>
      </c>
      <c r="Q33" s="8">
        <v>-9.0666666666666673E-2</v>
      </c>
      <c r="R33" s="12">
        <v>-0.26336885787041409</v>
      </c>
    </row>
    <row r="34" spans="1:18" x14ac:dyDescent="0.2">
      <c r="A34" s="5">
        <v>43489</v>
      </c>
      <c r="B34" s="11">
        <v>84404</v>
      </c>
      <c r="C34" s="11">
        <v>5488</v>
      </c>
      <c r="D34" s="11">
        <v>89892</v>
      </c>
      <c r="F34" s="5">
        <v>44220</v>
      </c>
      <c r="G34" s="11">
        <v>56493</v>
      </c>
      <c r="H34" s="11">
        <v>195</v>
      </c>
      <c r="I34" s="11">
        <v>56688</v>
      </c>
      <c r="K34" s="5">
        <v>43492</v>
      </c>
      <c r="L34" s="5">
        <v>44220</v>
      </c>
      <c r="M34" s="11">
        <v>-12080</v>
      </c>
      <c r="N34" s="11">
        <v>-112</v>
      </c>
      <c r="O34" s="11">
        <v>-12192</v>
      </c>
      <c r="P34" s="8">
        <v>-0.17616262960640483</v>
      </c>
      <c r="Q34" s="8">
        <v>-0.36482084690553751</v>
      </c>
      <c r="R34" s="12">
        <v>-0.17700348432055746</v>
      </c>
    </row>
    <row r="35" spans="1:18" x14ac:dyDescent="0.2">
      <c r="A35" s="5">
        <v>43490</v>
      </c>
      <c r="B35" s="11">
        <v>92449</v>
      </c>
      <c r="C35" s="11">
        <v>5245</v>
      </c>
      <c r="D35" s="11">
        <v>97694</v>
      </c>
      <c r="F35" s="5">
        <v>44221</v>
      </c>
      <c r="G35" s="11">
        <v>61342</v>
      </c>
      <c r="H35" s="11">
        <v>5089</v>
      </c>
      <c r="I35" s="11">
        <v>66431</v>
      </c>
      <c r="K35" s="5">
        <v>43493</v>
      </c>
      <c r="L35" s="5">
        <v>44221</v>
      </c>
      <c r="M35" s="11">
        <f>G35-B38</f>
        <v>-17873</v>
      </c>
      <c r="N35" s="11">
        <f t="shared" ref="N35:O41" si="0">H35-C38</f>
        <v>-73</v>
      </c>
      <c r="O35" s="11">
        <f t="shared" si="0"/>
        <v>-17946</v>
      </c>
      <c r="P35" s="8">
        <f>G35/B38-1</f>
        <v>-0.22562645963517014</v>
      </c>
      <c r="Q35" s="8">
        <f t="shared" ref="Q35:R41" si="1">H35/C38-1</f>
        <v>-1.4141805501743487E-2</v>
      </c>
      <c r="R35" s="12">
        <f t="shared" si="1"/>
        <v>-0.21268829183308247</v>
      </c>
    </row>
    <row r="36" spans="1:18" x14ac:dyDescent="0.2">
      <c r="A36" s="5">
        <v>43491</v>
      </c>
      <c r="B36" s="11">
        <v>83699</v>
      </c>
      <c r="C36" s="11">
        <v>1125</v>
      </c>
      <c r="D36" s="11">
        <v>84824</v>
      </c>
      <c r="F36" s="5">
        <v>44222</v>
      </c>
      <c r="G36" s="11">
        <v>71100</v>
      </c>
      <c r="H36" s="11">
        <v>5171</v>
      </c>
      <c r="I36" s="11">
        <v>76271</v>
      </c>
      <c r="K36" s="5">
        <v>43494</v>
      </c>
      <c r="L36" s="5">
        <v>44222</v>
      </c>
      <c r="M36" s="11">
        <f t="shared" ref="M36:M41" si="2">G36-B39</f>
        <v>-11751</v>
      </c>
      <c r="N36" s="11">
        <f t="shared" si="0"/>
        <v>-666</v>
      </c>
      <c r="O36" s="11">
        <f t="shared" si="0"/>
        <v>-12417</v>
      </c>
      <c r="P36" s="8">
        <f t="shared" ref="P36:P41" si="3">G36/B39-1</f>
        <v>-0.14183292899301159</v>
      </c>
      <c r="Q36" s="8">
        <f t="shared" si="1"/>
        <v>-0.11409970875449715</v>
      </c>
      <c r="R36" s="12">
        <f t="shared" si="1"/>
        <v>-0.14000766732816161</v>
      </c>
    </row>
    <row r="37" spans="1:18" x14ac:dyDescent="0.2">
      <c r="A37" s="5">
        <v>43492</v>
      </c>
      <c r="B37" s="11">
        <v>68573</v>
      </c>
      <c r="C37" s="11">
        <v>307</v>
      </c>
      <c r="D37" s="11">
        <v>68880</v>
      </c>
      <c r="F37" s="5">
        <v>44223</v>
      </c>
      <c r="G37" s="11">
        <v>63926</v>
      </c>
      <c r="H37" s="11">
        <v>5153</v>
      </c>
      <c r="I37" s="11">
        <v>69079</v>
      </c>
      <c r="K37" s="5">
        <v>43495</v>
      </c>
      <c r="L37" s="5">
        <v>44223</v>
      </c>
      <c r="M37" s="11">
        <f t="shared" si="2"/>
        <v>-19944</v>
      </c>
      <c r="N37" s="11">
        <f t="shared" si="0"/>
        <v>-813</v>
      </c>
      <c r="O37" s="11">
        <f t="shared" si="0"/>
        <v>-20757</v>
      </c>
      <c r="P37" s="8">
        <f t="shared" si="3"/>
        <v>-0.23779658996065334</v>
      </c>
      <c r="Q37" s="8">
        <f t="shared" si="1"/>
        <v>-0.13627220918538385</v>
      </c>
      <c r="R37" s="12">
        <f t="shared" si="1"/>
        <v>-0.23105436573311366</v>
      </c>
    </row>
    <row r="38" spans="1:18" x14ac:dyDescent="0.2">
      <c r="A38" s="5">
        <v>43493</v>
      </c>
      <c r="B38" s="11">
        <v>79215</v>
      </c>
      <c r="C38" s="11">
        <v>5162</v>
      </c>
      <c r="D38" s="11">
        <v>84377</v>
      </c>
      <c r="F38" s="5">
        <v>44224</v>
      </c>
      <c r="G38" s="11">
        <v>68119</v>
      </c>
      <c r="H38" s="11">
        <v>5434</v>
      </c>
      <c r="I38" s="11">
        <v>73553</v>
      </c>
      <c r="K38" s="5">
        <v>43496</v>
      </c>
      <c r="L38" s="5">
        <v>44224</v>
      </c>
      <c r="M38" s="11">
        <f t="shared" si="2"/>
        <v>-16087</v>
      </c>
      <c r="N38" s="11">
        <f t="shared" si="0"/>
        <v>-408</v>
      </c>
      <c r="O38" s="11">
        <f t="shared" si="0"/>
        <v>-16495</v>
      </c>
      <c r="P38" s="8">
        <f t="shared" si="3"/>
        <v>-0.19104339358240507</v>
      </c>
      <c r="Q38" s="8">
        <f t="shared" si="1"/>
        <v>-6.9839096199931561E-2</v>
      </c>
      <c r="R38" s="12">
        <f t="shared" si="1"/>
        <v>-0.18318008173418621</v>
      </c>
    </row>
    <row r="39" spans="1:18" x14ac:dyDescent="0.2">
      <c r="A39" s="5">
        <v>43494</v>
      </c>
      <c r="B39" s="11">
        <v>82851</v>
      </c>
      <c r="C39" s="11">
        <v>5837</v>
      </c>
      <c r="D39" s="11">
        <v>88688</v>
      </c>
      <c r="F39" s="5">
        <v>44225</v>
      </c>
      <c r="G39" s="11">
        <v>74602</v>
      </c>
      <c r="H39" s="11">
        <v>5469</v>
      </c>
      <c r="I39" s="11">
        <v>80071</v>
      </c>
      <c r="K39" s="5">
        <v>43497</v>
      </c>
      <c r="L39" s="5">
        <v>44225</v>
      </c>
      <c r="M39" s="11">
        <f t="shared" si="2"/>
        <v>-15355</v>
      </c>
      <c r="N39" s="11">
        <f t="shared" si="0"/>
        <v>201</v>
      </c>
      <c r="O39" s="11">
        <f t="shared" si="0"/>
        <v>-15154</v>
      </c>
      <c r="P39" s="8">
        <f t="shared" si="3"/>
        <v>-0.17069266427293039</v>
      </c>
      <c r="Q39" s="8">
        <f t="shared" si="1"/>
        <v>3.815489749430534E-2</v>
      </c>
      <c r="R39" s="12">
        <f t="shared" si="1"/>
        <v>-0.15913888159621947</v>
      </c>
    </row>
    <row r="40" spans="1:18" x14ac:dyDescent="0.2">
      <c r="A40" s="5">
        <v>43495</v>
      </c>
      <c r="B40" s="11">
        <v>83870</v>
      </c>
      <c r="C40" s="11">
        <v>5966</v>
      </c>
      <c r="D40" s="11">
        <v>89836</v>
      </c>
      <c r="F40" s="5">
        <v>44226</v>
      </c>
      <c r="G40" s="11">
        <v>64216</v>
      </c>
      <c r="H40" s="11">
        <v>1006</v>
      </c>
      <c r="I40" s="11">
        <v>65222</v>
      </c>
      <c r="K40" s="5">
        <v>43498</v>
      </c>
      <c r="L40" s="5">
        <v>44226</v>
      </c>
      <c r="M40" s="11">
        <f t="shared" si="2"/>
        <v>-18691</v>
      </c>
      <c r="N40" s="11">
        <f t="shared" si="0"/>
        <v>-88</v>
      </c>
      <c r="O40" s="11">
        <f t="shared" si="0"/>
        <v>-18779</v>
      </c>
      <c r="P40" s="8">
        <f t="shared" si="3"/>
        <v>-0.22544537855669611</v>
      </c>
      <c r="Q40" s="8">
        <f t="shared" si="1"/>
        <v>-8.0438756855575888E-2</v>
      </c>
      <c r="R40" s="12">
        <f t="shared" si="1"/>
        <v>-0.22355686241830452</v>
      </c>
    </row>
    <row r="41" spans="1:18" x14ac:dyDescent="0.2">
      <c r="A41" s="5">
        <v>43496</v>
      </c>
      <c r="B41" s="11">
        <v>84206</v>
      </c>
      <c r="C41" s="11">
        <v>5842</v>
      </c>
      <c r="D41" s="11">
        <v>90048</v>
      </c>
      <c r="F41" s="5">
        <v>44227</v>
      </c>
      <c r="G41" s="11">
        <v>51415</v>
      </c>
      <c r="H41" s="11">
        <v>188</v>
      </c>
      <c r="I41" s="11">
        <v>51603</v>
      </c>
      <c r="K41" s="5">
        <v>43499</v>
      </c>
      <c r="L41" s="5">
        <v>44227</v>
      </c>
      <c r="M41" s="11">
        <f t="shared" si="2"/>
        <v>-8636</v>
      </c>
      <c r="N41" s="11">
        <f t="shared" si="0"/>
        <v>-147</v>
      </c>
      <c r="O41" s="11">
        <f t="shared" si="0"/>
        <v>-8783</v>
      </c>
      <c r="P41" s="8">
        <f t="shared" si="3"/>
        <v>-0.14381109390351532</v>
      </c>
      <c r="Q41" s="8">
        <f t="shared" si="1"/>
        <v>-0.43880597014925371</v>
      </c>
      <c r="R41" s="12">
        <f t="shared" si="1"/>
        <v>-0.14544762030934322</v>
      </c>
    </row>
    <row r="42" spans="1:18" x14ac:dyDescent="0.2">
      <c r="A42" s="5">
        <v>43497</v>
      </c>
      <c r="B42" s="11">
        <v>89957</v>
      </c>
      <c r="C42" s="11">
        <v>5268</v>
      </c>
      <c r="D42" s="11">
        <v>95225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">
      <c r="A43" s="5">
        <v>43498</v>
      </c>
      <c r="B43" s="11">
        <v>82907</v>
      </c>
      <c r="C43" s="11">
        <v>1094</v>
      </c>
      <c r="D43" s="11">
        <v>84001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">
      <c r="A44" s="5">
        <v>43499</v>
      </c>
      <c r="B44" s="11">
        <v>60051</v>
      </c>
      <c r="C44" s="11">
        <v>335</v>
      </c>
      <c r="D44" s="11">
        <v>60386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">
      <c r="A45" s="5"/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3" t="s">
        <v>34</v>
      </c>
      <c r="B47" s="6"/>
      <c r="C47" s="6"/>
      <c r="D47" s="3"/>
      <c r="F47" s="23" t="s">
        <v>34</v>
      </c>
      <c r="G47" s="6"/>
      <c r="H47" s="6"/>
      <c r="I47" s="3"/>
      <c r="K47" s="23" t="s">
        <v>35</v>
      </c>
      <c r="L47" s="23"/>
      <c r="M47" s="6"/>
      <c r="N47" s="6"/>
      <c r="O47" s="3"/>
      <c r="P47" s="6"/>
      <c r="Q47" s="6"/>
      <c r="R47" s="3"/>
    </row>
    <row r="48" spans="1:18" ht="26.45" customHeight="1" x14ac:dyDescent="0.2">
      <c r="A48" s="24"/>
      <c r="B48" s="7" t="s">
        <v>38</v>
      </c>
      <c r="C48" s="4" t="s">
        <v>2</v>
      </c>
      <c r="D48" s="4" t="s">
        <v>0</v>
      </c>
      <c r="F48" s="24"/>
      <c r="G48" s="7" t="s">
        <v>38</v>
      </c>
      <c r="H48" s="4" t="s">
        <v>2</v>
      </c>
      <c r="I48" s="4" t="s">
        <v>0</v>
      </c>
      <c r="K48" s="24"/>
      <c r="L48" s="24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2">
      <c r="A49" s="5">
        <v>43466</v>
      </c>
      <c r="B49" s="11">
        <v>26639</v>
      </c>
      <c r="C49" s="11">
        <v>93</v>
      </c>
      <c r="D49" s="11">
        <v>26732</v>
      </c>
      <c r="F49" s="5">
        <v>44197</v>
      </c>
      <c r="G49" s="11">
        <v>20131</v>
      </c>
      <c r="H49" s="11">
        <v>53</v>
      </c>
      <c r="I49" s="11">
        <v>20184</v>
      </c>
      <c r="K49" s="5">
        <v>43469</v>
      </c>
      <c r="L49" s="5">
        <v>44197</v>
      </c>
      <c r="M49" s="11">
        <v>-16963</v>
      </c>
      <c r="N49" s="11">
        <v>-1662</v>
      </c>
      <c r="O49" s="11">
        <v>-18625</v>
      </c>
      <c r="P49" s="8">
        <v>-0.45729767617404427</v>
      </c>
      <c r="Q49" s="8">
        <v>-0.96909620991253642</v>
      </c>
      <c r="R49" s="12">
        <v>-0.47991445283310574</v>
      </c>
    </row>
    <row r="50" spans="1:18" x14ac:dyDescent="0.2">
      <c r="A50" s="5">
        <v>43467</v>
      </c>
      <c r="B50" s="11">
        <v>30637</v>
      </c>
      <c r="C50" s="11">
        <v>481</v>
      </c>
      <c r="D50" s="11">
        <v>31118</v>
      </c>
      <c r="F50" s="5">
        <v>44198</v>
      </c>
      <c r="G50" s="11">
        <v>28767</v>
      </c>
      <c r="H50" s="11">
        <v>252</v>
      </c>
      <c r="I50" s="11">
        <v>29019</v>
      </c>
      <c r="K50" s="5">
        <v>43470</v>
      </c>
      <c r="L50" s="5">
        <v>44198</v>
      </c>
      <c r="M50" s="11">
        <v>-690</v>
      </c>
      <c r="N50" s="11">
        <v>-185</v>
      </c>
      <c r="O50" s="11">
        <v>-875</v>
      </c>
      <c r="P50" s="8">
        <v>-2.3423973928098585E-2</v>
      </c>
      <c r="Q50" s="8">
        <v>-0.42334096109839814</v>
      </c>
      <c r="R50" s="12">
        <v>-2.9270087643005316E-2</v>
      </c>
    </row>
    <row r="51" spans="1:18" x14ac:dyDescent="0.2">
      <c r="A51" s="5">
        <v>43468</v>
      </c>
      <c r="B51" s="11">
        <v>35890</v>
      </c>
      <c r="C51" s="11">
        <v>1730</v>
      </c>
      <c r="D51" s="11">
        <v>37620</v>
      </c>
      <c r="F51" s="5">
        <v>44199</v>
      </c>
      <c r="G51" s="11">
        <v>23667</v>
      </c>
      <c r="H51" s="11">
        <v>79</v>
      </c>
      <c r="I51" s="11">
        <v>23746</v>
      </c>
      <c r="K51" s="5">
        <v>43471</v>
      </c>
      <c r="L51" s="5">
        <v>44199</v>
      </c>
      <c r="M51" s="11">
        <v>-2474</v>
      </c>
      <c r="N51" s="11">
        <v>-28</v>
      </c>
      <c r="O51" s="11">
        <v>-2502</v>
      </c>
      <c r="P51" s="8">
        <v>-9.4640602884357938E-2</v>
      </c>
      <c r="Q51" s="8">
        <v>-0.26168224299065423</v>
      </c>
      <c r="R51" s="12">
        <v>-9.5321548308442527E-2</v>
      </c>
    </row>
    <row r="52" spans="1:18" x14ac:dyDescent="0.2">
      <c r="A52" s="5">
        <v>43469</v>
      </c>
      <c r="B52" s="11">
        <v>37094</v>
      </c>
      <c r="C52" s="11">
        <v>1715</v>
      </c>
      <c r="D52" s="11">
        <v>38809</v>
      </c>
      <c r="F52" s="5">
        <v>44200</v>
      </c>
      <c r="G52" s="11">
        <v>31692</v>
      </c>
      <c r="H52" s="11">
        <v>1623</v>
      </c>
      <c r="I52" s="11">
        <v>33315</v>
      </c>
      <c r="K52" s="5">
        <v>43472</v>
      </c>
      <c r="L52" s="5">
        <v>44200</v>
      </c>
      <c r="M52" s="11">
        <v>-5700</v>
      </c>
      <c r="N52" s="11">
        <v>-644</v>
      </c>
      <c r="O52" s="11">
        <v>-6344</v>
      </c>
      <c r="P52" s="8">
        <v>-0.15243902439024393</v>
      </c>
      <c r="Q52" s="8">
        <v>-0.28407587119541244</v>
      </c>
      <c r="R52" s="12">
        <v>-0.15996369046118153</v>
      </c>
    </row>
    <row r="53" spans="1:18" x14ac:dyDescent="0.2">
      <c r="A53" s="5">
        <v>43470</v>
      </c>
      <c r="B53" s="11">
        <v>29457</v>
      </c>
      <c r="C53" s="11">
        <v>437</v>
      </c>
      <c r="D53" s="11">
        <v>29894</v>
      </c>
      <c r="F53" s="5">
        <v>44201</v>
      </c>
      <c r="G53" s="11">
        <v>32916</v>
      </c>
      <c r="H53" s="11">
        <v>1892</v>
      </c>
      <c r="I53" s="11">
        <v>34808</v>
      </c>
      <c r="K53" s="5">
        <v>43473</v>
      </c>
      <c r="L53" s="5">
        <v>44201</v>
      </c>
      <c r="M53" s="11">
        <v>-5354</v>
      </c>
      <c r="N53" s="11">
        <v>-592</v>
      </c>
      <c r="O53" s="11">
        <v>-5946</v>
      </c>
      <c r="P53" s="8">
        <v>-0.13990070551345701</v>
      </c>
      <c r="Q53" s="8">
        <v>-0.23832528180354262</v>
      </c>
      <c r="R53" s="12">
        <v>-0.14589978897776901</v>
      </c>
    </row>
    <row r="54" spans="1:18" x14ac:dyDescent="0.2">
      <c r="A54" s="5">
        <v>43471</v>
      </c>
      <c r="B54" s="11">
        <v>26141</v>
      </c>
      <c r="C54" s="11">
        <v>107</v>
      </c>
      <c r="D54" s="11">
        <v>26248</v>
      </c>
      <c r="F54" s="5">
        <v>44202</v>
      </c>
      <c r="G54" s="11">
        <v>32914</v>
      </c>
      <c r="H54" s="11">
        <v>1789</v>
      </c>
      <c r="I54" s="11">
        <v>34703</v>
      </c>
      <c r="K54" s="5">
        <v>43474</v>
      </c>
      <c r="L54" s="5">
        <v>44202</v>
      </c>
      <c r="M54" s="11">
        <v>-5987</v>
      </c>
      <c r="N54" s="11">
        <v>-763</v>
      </c>
      <c r="O54" s="11">
        <v>-6750</v>
      </c>
      <c r="P54" s="8">
        <v>-0.15390349862471397</v>
      </c>
      <c r="Q54" s="8">
        <v>-0.2989811912225705</v>
      </c>
      <c r="R54" s="12">
        <v>-0.16283501797216127</v>
      </c>
    </row>
    <row r="55" spans="1:18" x14ac:dyDescent="0.2">
      <c r="A55" s="5">
        <v>43472</v>
      </c>
      <c r="B55" s="11">
        <v>37392</v>
      </c>
      <c r="C55" s="11">
        <v>2267</v>
      </c>
      <c r="D55" s="11">
        <v>39659</v>
      </c>
      <c r="F55" s="5">
        <v>44203</v>
      </c>
      <c r="G55" s="11">
        <v>35880</v>
      </c>
      <c r="H55" s="11">
        <v>2151</v>
      </c>
      <c r="I55" s="11">
        <v>38031</v>
      </c>
      <c r="K55" s="5">
        <v>43475</v>
      </c>
      <c r="L55" s="5">
        <v>44203</v>
      </c>
      <c r="M55" s="11">
        <v>-3014</v>
      </c>
      <c r="N55" s="11">
        <v>-409</v>
      </c>
      <c r="O55" s="11">
        <v>-3423</v>
      </c>
      <c r="P55" s="8">
        <v>-7.7492672391628492E-2</v>
      </c>
      <c r="Q55" s="8">
        <v>-0.15976562500000002</v>
      </c>
      <c r="R55" s="12">
        <v>-8.2573454913880462E-2</v>
      </c>
    </row>
    <row r="56" spans="1:18" x14ac:dyDescent="0.2">
      <c r="A56" s="5">
        <v>43473</v>
      </c>
      <c r="B56" s="11">
        <v>38270</v>
      </c>
      <c r="C56" s="11">
        <v>2484</v>
      </c>
      <c r="D56" s="11">
        <v>40754</v>
      </c>
      <c r="F56" s="5">
        <v>44204</v>
      </c>
      <c r="G56" s="11">
        <v>38229</v>
      </c>
      <c r="H56" s="11">
        <v>2189</v>
      </c>
      <c r="I56" s="11">
        <v>40418</v>
      </c>
      <c r="K56" s="5">
        <v>43476</v>
      </c>
      <c r="L56" s="5">
        <v>44204</v>
      </c>
      <c r="M56" s="11">
        <v>-6092</v>
      </c>
      <c r="N56" s="11">
        <v>-227</v>
      </c>
      <c r="O56" s="11">
        <v>-6319</v>
      </c>
      <c r="P56" s="8">
        <v>-0.13745177229755645</v>
      </c>
      <c r="Q56" s="8">
        <v>-9.39569536423841E-2</v>
      </c>
      <c r="R56" s="12">
        <v>-0.13520337206068</v>
      </c>
    </row>
    <row r="57" spans="1:18" x14ac:dyDescent="0.2">
      <c r="A57" s="5">
        <v>43474</v>
      </c>
      <c r="B57" s="11">
        <v>38901</v>
      </c>
      <c r="C57" s="11">
        <v>2552</v>
      </c>
      <c r="D57" s="11">
        <v>41453</v>
      </c>
      <c r="F57" s="5">
        <v>44205</v>
      </c>
      <c r="G57" s="11">
        <v>34340</v>
      </c>
      <c r="H57" s="11">
        <v>396</v>
      </c>
      <c r="I57" s="11">
        <v>34736</v>
      </c>
      <c r="K57" s="5">
        <v>43477</v>
      </c>
      <c r="L57" s="5">
        <v>44205</v>
      </c>
      <c r="M57" s="11">
        <v>-3404</v>
      </c>
      <c r="N57" s="11">
        <v>-83</v>
      </c>
      <c r="O57" s="11">
        <v>-3487</v>
      </c>
      <c r="P57" s="8">
        <v>-9.0186519711742297E-2</v>
      </c>
      <c r="Q57" s="8">
        <v>-0.17327766179540705</v>
      </c>
      <c r="R57" s="12">
        <v>-9.1227794783245719E-2</v>
      </c>
    </row>
    <row r="58" spans="1:18" x14ac:dyDescent="0.2">
      <c r="A58" s="5">
        <v>43475</v>
      </c>
      <c r="B58" s="11">
        <v>38894</v>
      </c>
      <c r="C58" s="11">
        <v>2560</v>
      </c>
      <c r="D58" s="11">
        <v>41454</v>
      </c>
      <c r="F58" s="5">
        <v>44206</v>
      </c>
      <c r="G58" s="11">
        <v>27449</v>
      </c>
      <c r="H58" s="11">
        <v>93</v>
      </c>
      <c r="I58" s="11">
        <v>27542</v>
      </c>
      <c r="K58" s="5">
        <v>43478</v>
      </c>
      <c r="L58" s="5">
        <v>44206</v>
      </c>
      <c r="M58" s="11">
        <v>-1227</v>
      </c>
      <c r="N58" s="11">
        <v>-33</v>
      </c>
      <c r="O58" s="11">
        <v>-1260</v>
      </c>
      <c r="P58" s="8">
        <v>-4.2788394476217073E-2</v>
      </c>
      <c r="Q58" s="8">
        <v>-0.26190476190476186</v>
      </c>
      <c r="R58" s="12">
        <v>-4.3746962016526614E-2</v>
      </c>
    </row>
    <row r="59" spans="1:18" x14ac:dyDescent="0.2">
      <c r="A59" s="5">
        <v>43476</v>
      </c>
      <c r="B59" s="11">
        <v>44321</v>
      </c>
      <c r="C59" s="11">
        <v>2416</v>
      </c>
      <c r="D59" s="11">
        <v>46737</v>
      </c>
      <c r="F59" s="5">
        <v>44207</v>
      </c>
      <c r="G59" s="11">
        <v>35073</v>
      </c>
      <c r="H59" s="11">
        <v>2307</v>
      </c>
      <c r="I59" s="11">
        <v>37380</v>
      </c>
      <c r="K59" s="5">
        <v>43479</v>
      </c>
      <c r="L59" s="5">
        <v>44207</v>
      </c>
      <c r="M59" s="11">
        <v>-4591</v>
      </c>
      <c r="N59" s="11">
        <v>-310</v>
      </c>
      <c r="O59" s="11">
        <v>-4901</v>
      </c>
      <c r="P59" s="8">
        <v>-0.11574727712787414</v>
      </c>
      <c r="Q59" s="8">
        <v>-0.11845624761176921</v>
      </c>
      <c r="R59" s="12">
        <v>-0.11591494997753127</v>
      </c>
    </row>
    <row r="60" spans="1:18" x14ac:dyDescent="0.2">
      <c r="A60" s="5">
        <v>43477</v>
      </c>
      <c r="B60" s="11">
        <v>37744</v>
      </c>
      <c r="C60" s="11">
        <v>479</v>
      </c>
      <c r="D60" s="11">
        <v>38223</v>
      </c>
      <c r="F60" s="5">
        <v>44208</v>
      </c>
      <c r="G60" s="11">
        <v>32825</v>
      </c>
      <c r="H60" s="11">
        <v>2648</v>
      </c>
      <c r="I60" s="11">
        <v>35473</v>
      </c>
      <c r="K60" s="5">
        <v>43480</v>
      </c>
      <c r="L60" s="5">
        <v>44208</v>
      </c>
      <c r="M60" s="11">
        <v>-8816</v>
      </c>
      <c r="N60" s="11">
        <v>-167</v>
      </c>
      <c r="O60" s="11">
        <v>-8983</v>
      </c>
      <c r="P60" s="8">
        <v>-0.2117144160803055</v>
      </c>
      <c r="Q60" s="8">
        <v>-5.9325044404973326E-2</v>
      </c>
      <c r="R60" s="12">
        <v>-0.20206496310959154</v>
      </c>
    </row>
    <row r="61" spans="1:18" x14ac:dyDescent="0.2">
      <c r="A61" s="5">
        <v>43478</v>
      </c>
      <c r="B61" s="11">
        <v>28676</v>
      </c>
      <c r="C61" s="11">
        <v>126</v>
      </c>
      <c r="D61" s="11">
        <v>28802</v>
      </c>
      <c r="F61" s="5">
        <v>44209</v>
      </c>
      <c r="G61" s="11">
        <v>35042</v>
      </c>
      <c r="H61" s="11">
        <v>2595</v>
      </c>
      <c r="I61" s="11">
        <v>37637</v>
      </c>
      <c r="K61" s="5">
        <v>43481</v>
      </c>
      <c r="L61" s="5">
        <v>44209</v>
      </c>
      <c r="M61" s="11">
        <v>-8950</v>
      </c>
      <c r="N61" s="11">
        <v>-366</v>
      </c>
      <c r="O61" s="11">
        <v>-9316</v>
      </c>
      <c r="P61" s="8">
        <v>-0.20344608110565554</v>
      </c>
      <c r="Q61" s="8">
        <v>-0.12360688956433641</v>
      </c>
      <c r="R61" s="12">
        <v>-0.19841117713458134</v>
      </c>
    </row>
    <row r="62" spans="1:18" x14ac:dyDescent="0.2">
      <c r="A62" s="5">
        <v>43479</v>
      </c>
      <c r="B62" s="11">
        <v>39664</v>
      </c>
      <c r="C62" s="11">
        <v>2617</v>
      </c>
      <c r="D62" s="11">
        <v>42281</v>
      </c>
      <c r="F62" s="5">
        <v>44210</v>
      </c>
      <c r="G62" s="11">
        <v>29705</v>
      </c>
      <c r="H62" s="11">
        <v>2414</v>
      </c>
      <c r="I62" s="11">
        <v>32119</v>
      </c>
      <c r="K62" s="5">
        <v>43482</v>
      </c>
      <c r="L62" s="5">
        <v>44210</v>
      </c>
      <c r="M62" s="11">
        <v>-13576</v>
      </c>
      <c r="N62" s="11">
        <v>-555</v>
      </c>
      <c r="O62" s="11">
        <v>-14131</v>
      </c>
      <c r="P62" s="8">
        <v>-0.31367112589820012</v>
      </c>
      <c r="Q62" s="8">
        <v>-0.1869316268103739</v>
      </c>
      <c r="R62" s="12">
        <v>-0.30553513513513508</v>
      </c>
    </row>
    <row r="63" spans="1:18" x14ac:dyDescent="0.2">
      <c r="A63" s="5">
        <v>43480</v>
      </c>
      <c r="B63" s="11">
        <v>41641</v>
      </c>
      <c r="C63" s="11">
        <v>2815</v>
      </c>
      <c r="D63" s="11">
        <v>44456</v>
      </c>
      <c r="F63" s="5">
        <v>44211</v>
      </c>
      <c r="G63" s="11">
        <v>28113</v>
      </c>
      <c r="H63" s="11">
        <v>2075</v>
      </c>
      <c r="I63" s="11">
        <v>30188</v>
      </c>
      <c r="K63" s="5">
        <v>43483</v>
      </c>
      <c r="L63" s="5">
        <v>44211</v>
      </c>
      <c r="M63" s="11">
        <v>-19798</v>
      </c>
      <c r="N63" s="11">
        <v>-567</v>
      </c>
      <c r="O63" s="11">
        <v>-20365</v>
      </c>
      <c r="P63" s="8">
        <v>-0.41322452046502889</v>
      </c>
      <c r="Q63" s="8">
        <v>-0.21461014383043153</v>
      </c>
      <c r="R63" s="12">
        <v>-0.40284453939429909</v>
      </c>
    </row>
    <row r="64" spans="1:18" x14ac:dyDescent="0.2">
      <c r="A64" s="5">
        <v>43481</v>
      </c>
      <c r="B64" s="11">
        <v>43992</v>
      </c>
      <c r="C64" s="11">
        <v>2961</v>
      </c>
      <c r="D64" s="11">
        <v>46953</v>
      </c>
      <c r="F64" s="5">
        <v>44212</v>
      </c>
      <c r="G64" s="11">
        <v>30367</v>
      </c>
      <c r="H64" s="11">
        <v>580</v>
      </c>
      <c r="I64" s="11">
        <v>30947</v>
      </c>
      <c r="K64" s="5">
        <v>43484</v>
      </c>
      <c r="L64" s="5">
        <v>44212</v>
      </c>
      <c r="M64" s="11">
        <v>-11523</v>
      </c>
      <c r="N64" s="11">
        <v>92</v>
      </c>
      <c r="O64" s="11">
        <v>-11431</v>
      </c>
      <c r="P64" s="8">
        <v>-0.27507758414896155</v>
      </c>
      <c r="Q64" s="8">
        <v>0.18852459016393452</v>
      </c>
      <c r="R64" s="12">
        <v>-0.26973901552692436</v>
      </c>
    </row>
    <row r="65" spans="1:18" x14ac:dyDescent="0.2">
      <c r="A65" s="5">
        <v>43482</v>
      </c>
      <c r="B65" s="11">
        <v>43281</v>
      </c>
      <c r="C65" s="11">
        <v>2969</v>
      </c>
      <c r="D65" s="11">
        <v>46250</v>
      </c>
      <c r="F65" s="5">
        <v>44213</v>
      </c>
      <c r="G65" s="11">
        <v>17982</v>
      </c>
      <c r="H65" s="11">
        <v>89</v>
      </c>
      <c r="I65" s="11">
        <v>18071</v>
      </c>
      <c r="K65" s="5">
        <v>43485</v>
      </c>
      <c r="L65" s="5">
        <v>44213</v>
      </c>
      <c r="M65" s="11">
        <v>-14099</v>
      </c>
      <c r="N65" s="11">
        <v>-10</v>
      </c>
      <c r="O65" s="11">
        <v>-14109</v>
      </c>
      <c r="P65" s="8">
        <v>-0.43948131292665438</v>
      </c>
      <c r="Q65" s="8">
        <v>-0.10101010101010099</v>
      </c>
      <c r="R65" s="12">
        <v>-0.43844002486016154</v>
      </c>
    </row>
    <row r="66" spans="1:18" x14ac:dyDescent="0.2">
      <c r="A66" s="5">
        <v>43483</v>
      </c>
      <c r="B66" s="11">
        <v>47911</v>
      </c>
      <c r="C66" s="11">
        <v>2642</v>
      </c>
      <c r="D66" s="11">
        <v>50553</v>
      </c>
      <c r="F66" s="5">
        <v>44214</v>
      </c>
      <c r="G66" s="11">
        <v>31495</v>
      </c>
      <c r="H66" s="11">
        <v>2694</v>
      </c>
      <c r="I66" s="11">
        <v>34189</v>
      </c>
      <c r="K66" s="5">
        <v>43486</v>
      </c>
      <c r="L66" s="5">
        <v>44214</v>
      </c>
      <c r="M66" s="11">
        <v>-9870</v>
      </c>
      <c r="N66" s="11">
        <v>25</v>
      </c>
      <c r="O66" s="11">
        <v>-9845</v>
      </c>
      <c r="P66" s="8">
        <v>-0.23860751843345829</v>
      </c>
      <c r="Q66" s="8">
        <v>9.3668040464593982E-3</v>
      </c>
      <c r="R66" s="12">
        <v>-0.22357723577235777</v>
      </c>
    </row>
    <row r="67" spans="1:18" x14ac:dyDescent="0.2">
      <c r="A67" s="5">
        <v>43484</v>
      </c>
      <c r="B67" s="11">
        <v>41890</v>
      </c>
      <c r="C67" s="11">
        <v>488</v>
      </c>
      <c r="D67" s="11">
        <v>42378</v>
      </c>
      <c r="F67" s="5">
        <v>44215</v>
      </c>
      <c r="G67" s="11">
        <v>33660</v>
      </c>
      <c r="H67" s="11">
        <v>2902</v>
      </c>
      <c r="I67" s="11">
        <v>36562</v>
      </c>
      <c r="K67" s="5">
        <v>43487</v>
      </c>
      <c r="L67" s="5">
        <v>44215</v>
      </c>
      <c r="M67" s="11">
        <v>-9063</v>
      </c>
      <c r="N67" s="11">
        <v>137</v>
      </c>
      <c r="O67" s="11">
        <v>-8926</v>
      </c>
      <c r="P67" s="8">
        <v>-0.21213397935538236</v>
      </c>
      <c r="Q67" s="8">
        <v>4.9547920433996362E-2</v>
      </c>
      <c r="R67" s="12">
        <v>-0.19622757650369327</v>
      </c>
    </row>
    <row r="68" spans="1:18" x14ac:dyDescent="0.2">
      <c r="A68" s="5">
        <v>43485</v>
      </c>
      <c r="B68" s="11">
        <v>32081</v>
      </c>
      <c r="C68" s="11">
        <v>99</v>
      </c>
      <c r="D68" s="11">
        <v>32180</v>
      </c>
      <c r="F68" s="5">
        <v>44216</v>
      </c>
      <c r="G68" s="11">
        <v>35157</v>
      </c>
      <c r="H68" s="11">
        <v>2932</v>
      </c>
      <c r="I68" s="11">
        <v>38089</v>
      </c>
      <c r="K68" s="5">
        <v>43488</v>
      </c>
      <c r="L68" s="5">
        <v>44216</v>
      </c>
      <c r="M68" s="11">
        <v>-8449</v>
      </c>
      <c r="N68" s="11">
        <v>134</v>
      </c>
      <c r="O68" s="11">
        <v>-8315</v>
      </c>
      <c r="P68" s="8">
        <v>-0.19375773976058341</v>
      </c>
      <c r="Q68" s="8">
        <v>4.7891350964974988E-2</v>
      </c>
      <c r="R68" s="12">
        <v>-0.17918713903973793</v>
      </c>
    </row>
    <row r="69" spans="1:18" x14ac:dyDescent="0.2">
      <c r="A69" s="5">
        <v>43486</v>
      </c>
      <c r="B69" s="11">
        <v>41365</v>
      </c>
      <c r="C69" s="11">
        <v>2669</v>
      </c>
      <c r="D69" s="11">
        <v>44034</v>
      </c>
      <c r="F69" s="5">
        <v>44217</v>
      </c>
      <c r="G69" s="11">
        <v>35403</v>
      </c>
      <c r="H69" s="11">
        <v>2929</v>
      </c>
      <c r="I69" s="11">
        <v>38332</v>
      </c>
      <c r="K69" s="5">
        <v>43489</v>
      </c>
      <c r="L69" s="5">
        <v>44217</v>
      </c>
      <c r="M69" s="11">
        <v>-8142</v>
      </c>
      <c r="N69" s="11">
        <v>237</v>
      </c>
      <c r="O69" s="11">
        <v>-7905</v>
      </c>
      <c r="P69" s="8">
        <v>-0.18697898725456419</v>
      </c>
      <c r="Q69" s="8">
        <v>8.8038632986626952E-2</v>
      </c>
      <c r="R69" s="12">
        <v>-0.17096697450094078</v>
      </c>
    </row>
    <row r="70" spans="1:18" x14ac:dyDescent="0.2">
      <c r="A70" s="5">
        <v>43487</v>
      </c>
      <c r="B70" s="11">
        <v>42723</v>
      </c>
      <c r="C70" s="11">
        <v>2765</v>
      </c>
      <c r="D70" s="11">
        <v>45488</v>
      </c>
      <c r="F70" s="5">
        <v>44218</v>
      </c>
      <c r="G70" s="11">
        <v>39174</v>
      </c>
      <c r="H70" s="11">
        <v>2686</v>
      </c>
      <c r="I70" s="11">
        <v>41860</v>
      </c>
      <c r="K70" s="5">
        <v>43490</v>
      </c>
      <c r="L70" s="5">
        <v>44218</v>
      </c>
      <c r="M70" s="11">
        <v>-9701</v>
      </c>
      <c r="N70" s="11">
        <v>67</v>
      </c>
      <c r="O70" s="11">
        <v>-9634</v>
      </c>
      <c r="P70" s="8">
        <v>-0.19848593350383636</v>
      </c>
      <c r="Q70" s="8">
        <v>2.558228331424206E-2</v>
      </c>
      <c r="R70" s="12">
        <v>-0.18708975803006178</v>
      </c>
    </row>
    <row r="71" spans="1:18" x14ac:dyDescent="0.2">
      <c r="A71" s="5">
        <v>43488</v>
      </c>
      <c r="B71" s="11">
        <v>43606</v>
      </c>
      <c r="C71" s="11">
        <v>2798</v>
      </c>
      <c r="D71" s="11">
        <v>46404</v>
      </c>
      <c r="F71" s="5">
        <v>44219</v>
      </c>
      <c r="G71" s="11">
        <v>31564</v>
      </c>
      <c r="H71" s="11">
        <v>467</v>
      </c>
      <c r="I71" s="11">
        <v>32031</v>
      </c>
      <c r="K71" s="5">
        <v>43491</v>
      </c>
      <c r="L71" s="5">
        <v>44219</v>
      </c>
      <c r="M71" s="11">
        <v>-12034</v>
      </c>
      <c r="N71" s="11">
        <v>-50</v>
      </c>
      <c r="O71" s="11">
        <v>-12084</v>
      </c>
      <c r="P71" s="8">
        <v>-0.27602183586403051</v>
      </c>
      <c r="Q71" s="8">
        <v>-9.6711798839458463E-2</v>
      </c>
      <c r="R71" s="12">
        <v>-0.27392043522611353</v>
      </c>
    </row>
    <row r="72" spans="1:18" x14ac:dyDescent="0.2">
      <c r="A72" s="5">
        <v>43489</v>
      </c>
      <c r="B72" s="11">
        <v>43545</v>
      </c>
      <c r="C72" s="11">
        <v>2692</v>
      </c>
      <c r="D72" s="11">
        <v>46237</v>
      </c>
      <c r="F72" s="5">
        <v>44220</v>
      </c>
      <c r="G72" s="11">
        <v>26332</v>
      </c>
      <c r="H72" s="11">
        <v>83</v>
      </c>
      <c r="I72" s="11">
        <v>26415</v>
      </c>
      <c r="K72" s="5">
        <v>43492</v>
      </c>
      <c r="L72" s="5">
        <v>44220</v>
      </c>
      <c r="M72" s="11">
        <v>-6536</v>
      </c>
      <c r="N72" s="11">
        <v>-60</v>
      </c>
      <c r="O72" s="11">
        <v>-6596</v>
      </c>
      <c r="P72" s="8">
        <v>-0.19885603018133136</v>
      </c>
      <c r="Q72" s="8">
        <v>-0.41958041958041958</v>
      </c>
      <c r="R72" s="12">
        <v>-0.19981218381751542</v>
      </c>
    </row>
    <row r="73" spans="1:18" x14ac:dyDescent="0.2">
      <c r="A73" s="5">
        <v>43490</v>
      </c>
      <c r="B73" s="11">
        <v>48875</v>
      </c>
      <c r="C73" s="11">
        <v>2619</v>
      </c>
      <c r="D73" s="11">
        <v>51494</v>
      </c>
      <c r="F73" s="5">
        <v>44221</v>
      </c>
      <c r="G73" s="11">
        <v>31135</v>
      </c>
      <c r="H73" s="11">
        <v>2511</v>
      </c>
      <c r="I73" s="11">
        <v>33646</v>
      </c>
      <c r="K73" s="5">
        <v>43493</v>
      </c>
      <c r="L73" s="5">
        <v>44221</v>
      </c>
      <c r="M73" s="11">
        <f t="shared" ref="M73:M75" si="4">G73-B76</f>
        <v>-9328</v>
      </c>
      <c r="N73" s="11">
        <f t="shared" ref="N73:N75" si="5">H73-C76</f>
        <v>-54</v>
      </c>
      <c r="O73" s="11">
        <f t="shared" ref="O73:O75" si="6">I73-D76</f>
        <v>-9382</v>
      </c>
      <c r="P73" s="8">
        <f t="shared" ref="P73:P75" si="7">G73/B76-1</f>
        <v>-0.23053159676741719</v>
      </c>
      <c r="Q73" s="8">
        <f t="shared" ref="Q73:Q75" si="8">H73/C76-1</f>
        <v>-2.1052631578947323E-2</v>
      </c>
      <c r="R73" s="12">
        <f t="shared" ref="R73:R75" si="9">I73/D76-1</f>
        <v>-0.21804406433020362</v>
      </c>
    </row>
    <row r="74" spans="1:18" x14ac:dyDescent="0.2">
      <c r="A74" s="5">
        <v>43491</v>
      </c>
      <c r="B74" s="11">
        <v>43598</v>
      </c>
      <c r="C74" s="11">
        <v>517</v>
      </c>
      <c r="D74" s="11">
        <v>44115</v>
      </c>
      <c r="F74" s="5">
        <v>44222</v>
      </c>
      <c r="G74" s="11">
        <v>36487</v>
      </c>
      <c r="H74" s="11">
        <v>2535</v>
      </c>
      <c r="I74" s="11">
        <v>39022</v>
      </c>
      <c r="K74" s="5">
        <v>43494</v>
      </c>
      <c r="L74" s="5">
        <v>44222</v>
      </c>
      <c r="M74" s="11">
        <f t="shared" si="4"/>
        <v>-5887</v>
      </c>
      <c r="N74" s="11">
        <f t="shared" si="5"/>
        <v>-394</v>
      </c>
      <c r="O74" s="11">
        <f t="shared" si="6"/>
        <v>-6281</v>
      </c>
      <c r="P74" s="8">
        <f t="shared" si="7"/>
        <v>-0.13892953226034832</v>
      </c>
      <c r="Q74" s="8">
        <f t="shared" si="8"/>
        <v>-0.13451689996585869</v>
      </c>
      <c r="R74" s="12">
        <f t="shared" si="9"/>
        <v>-0.13864423989581265</v>
      </c>
    </row>
    <row r="75" spans="1:18" x14ac:dyDescent="0.2">
      <c r="A75" s="5">
        <v>43492</v>
      </c>
      <c r="B75" s="11">
        <v>32868</v>
      </c>
      <c r="C75" s="11">
        <v>143</v>
      </c>
      <c r="D75" s="11">
        <v>33011</v>
      </c>
      <c r="F75" s="5">
        <v>44223</v>
      </c>
      <c r="G75" s="11">
        <v>32895</v>
      </c>
      <c r="H75" s="11">
        <v>2592</v>
      </c>
      <c r="I75" s="11">
        <v>35487</v>
      </c>
      <c r="K75" s="5">
        <v>43495</v>
      </c>
      <c r="L75" s="5">
        <v>44223</v>
      </c>
      <c r="M75" s="11">
        <f t="shared" si="4"/>
        <v>-10086</v>
      </c>
      <c r="N75" s="11">
        <f t="shared" si="5"/>
        <v>-371</v>
      </c>
      <c r="O75" s="11">
        <f t="shared" si="6"/>
        <v>-10457</v>
      </c>
      <c r="P75" s="8">
        <f t="shared" si="7"/>
        <v>-0.23466182731904794</v>
      </c>
      <c r="Q75" s="8">
        <f t="shared" si="8"/>
        <v>-0.12521093486331425</v>
      </c>
      <c r="R75" s="12">
        <f t="shared" si="9"/>
        <v>-0.22760316907539613</v>
      </c>
    </row>
    <row r="76" spans="1:18" x14ac:dyDescent="0.2">
      <c r="A76" s="5">
        <v>43493</v>
      </c>
      <c r="B76" s="11">
        <v>40463</v>
      </c>
      <c r="C76" s="11">
        <v>2565</v>
      </c>
      <c r="D76" s="11">
        <v>43028</v>
      </c>
      <c r="F76" s="5">
        <v>44224</v>
      </c>
      <c r="G76" s="11">
        <v>35079</v>
      </c>
      <c r="H76" s="11">
        <v>2639</v>
      </c>
      <c r="I76" s="11">
        <v>37718</v>
      </c>
      <c r="K76" s="5">
        <v>43496</v>
      </c>
      <c r="L76" s="5">
        <v>44224</v>
      </c>
      <c r="M76" s="11">
        <f t="shared" ref="M76:M79" si="10">G76-B79</f>
        <v>-8576</v>
      </c>
      <c r="N76" s="11">
        <f t="shared" ref="N76:N79" si="11">H76-C79</f>
        <v>-257</v>
      </c>
      <c r="O76" s="11">
        <f t="shared" ref="O76:O79" si="12">I76-D79</f>
        <v>-8833</v>
      </c>
      <c r="P76" s="8">
        <f t="shared" ref="P76:P79" si="13">G76/B79-1</f>
        <v>-0.19644943305463292</v>
      </c>
      <c r="Q76" s="8">
        <f t="shared" ref="Q76:Q79" si="14">H76/C79-1</f>
        <v>-8.8743093922651894E-2</v>
      </c>
      <c r="R76" s="12">
        <f t="shared" ref="R76:R79" si="15">I76/D79-1</f>
        <v>-0.1897488775751327</v>
      </c>
    </row>
    <row r="77" spans="1:18" x14ac:dyDescent="0.2">
      <c r="A77" s="5">
        <v>43494</v>
      </c>
      <c r="B77" s="11">
        <v>42374</v>
      </c>
      <c r="C77" s="11">
        <v>2929</v>
      </c>
      <c r="D77" s="11">
        <v>45303</v>
      </c>
      <c r="F77" s="5">
        <v>44225</v>
      </c>
      <c r="G77" s="11">
        <v>38769</v>
      </c>
      <c r="H77" s="11">
        <v>2613</v>
      </c>
      <c r="I77" s="11">
        <v>41382</v>
      </c>
      <c r="K77" s="5">
        <v>43497</v>
      </c>
      <c r="L77" s="5">
        <v>44225</v>
      </c>
      <c r="M77" s="11">
        <f t="shared" si="10"/>
        <v>-8279</v>
      </c>
      <c r="N77" s="11">
        <f t="shared" si="11"/>
        <v>27</v>
      </c>
      <c r="O77" s="11">
        <f t="shared" si="12"/>
        <v>-8252</v>
      </c>
      <c r="P77" s="8">
        <f t="shared" si="13"/>
        <v>-0.17596922292127193</v>
      </c>
      <c r="Q77" s="8">
        <f t="shared" si="14"/>
        <v>1.0440835266821269E-2</v>
      </c>
      <c r="R77" s="12">
        <f t="shared" si="15"/>
        <v>-0.16625700124914378</v>
      </c>
    </row>
    <row r="78" spans="1:18" x14ac:dyDescent="0.2">
      <c r="A78" s="5">
        <v>43495</v>
      </c>
      <c r="B78" s="11">
        <v>42981</v>
      </c>
      <c r="C78" s="11">
        <v>2963</v>
      </c>
      <c r="D78" s="11">
        <v>45944</v>
      </c>
      <c r="F78" s="5">
        <v>44226</v>
      </c>
      <c r="G78" s="11">
        <v>33420</v>
      </c>
      <c r="H78" s="11">
        <v>420</v>
      </c>
      <c r="I78" s="11">
        <v>33840</v>
      </c>
      <c r="K78" s="5">
        <v>43498</v>
      </c>
      <c r="L78" s="5">
        <v>44226</v>
      </c>
      <c r="M78" s="11">
        <f t="shared" si="10"/>
        <v>-10534</v>
      </c>
      <c r="N78" s="11">
        <f t="shared" si="11"/>
        <v>-86</v>
      </c>
      <c r="O78" s="11">
        <f t="shared" si="12"/>
        <v>-10620</v>
      </c>
      <c r="P78" s="8">
        <f t="shared" si="13"/>
        <v>-0.23965964417345409</v>
      </c>
      <c r="Q78" s="8">
        <f t="shared" si="14"/>
        <v>-0.16996047430830041</v>
      </c>
      <c r="R78" s="12">
        <f t="shared" si="15"/>
        <v>-0.23886639676113364</v>
      </c>
    </row>
    <row r="79" spans="1:18" x14ac:dyDescent="0.2">
      <c r="A79" s="5">
        <v>43496</v>
      </c>
      <c r="B79" s="11">
        <v>43655</v>
      </c>
      <c r="C79" s="11">
        <v>2896</v>
      </c>
      <c r="D79" s="11">
        <v>46551</v>
      </c>
      <c r="F79" s="5">
        <v>44227</v>
      </c>
      <c r="G79" s="11">
        <v>24607</v>
      </c>
      <c r="H79" s="11">
        <v>84</v>
      </c>
      <c r="I79" s="11">
        <v>24691</v>
      </c>
      <c r="K79" s="5">
        <v>43499</v>
      </c>
      <c r="L79" s="5">
        <v>44227</v>
      </c>
      <c r="M79" s="11">
        <f t="shared" si="10"/>
        <v>-4574</v>
      </c>
      <c r="N79" s="11">
        <f t="shared" si="11"/>
        <v>-74</v>
      </c>
      <c r="O79" s="11">
        <f t="shared" si="12"/>
        <v>-4648</v>
      </c>
      <c r="P79" s="8">
        <f t="shared" si="13"/>
        <v>-0.15674582776464141</v>
      </c>
      <c r="Q79" s="8">
        <f t="shared" si="14"/>
        <v>-0.46835443037974689</v>
      </c>
      <c r="R79" s="12">
        <f t="shared" si="15"/>
        <v>-0.15842394082961242</v>
      </c>
    </row>
    <row r="80" spans="1:18" x14ac:dyDescent="0.2">
      <c r="A80" s="5">
        <v>43497</v>
      </c>
      <c r="B80" s="11">
        <v>47048</v>
      </c>
      <c r="C80" s="11">
        <v>2586</v>
      </c>
      <c r="D80" s="11">
        <v>49634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">
      <c r="A81" s="5">
        <v>43498</v>
      </c>
      <c r="B81" s="11">
        <v>43954</v>
      </c>
      <c r="C81" s="11">
        <v>506</v>
      </c>
      <c r="D81" s="11">
        <v>44460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2">
      <c r="A82" s="5">
        <v>43499</v>
      </c>
      <c r="B82" s="11">
        <v>29181</v>
      </c>
      <c r="C82" s="11">
        <v>158</v>
      </c>
      <c r="D82" s="11">
        <v>29339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2">
      <c r="A83" s="5"/>
      <c r="B83" s="11"/>
      <c r="C83" s="11"/>
      <c r="D83" s="11"/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2">
      <c r="B84" s="2"/>
      <c r="C84" s="2"/>
      <c r="G84" s="2"/>
      <c r="H84" s="2"/>
    </row>
    <row r="85" spans="1:18" ht="12.95" customHeight="1" x14ac:dyDescent="0.2">
      <c r="A85" s="23" t="s">
        <v>36</v>
      </c>
      <c r="B85" s="6"/>
      <c r="C85" s="6"/>
      <c r="D85" s="3"/>
      <c r="F85" s="23" t="s">
        <v>36</v>
      </c>
      <c r="G85" s="6"/>
      <c r="H85" s="6"/>
      <c r="I85" s="3"/>
      <c r="K85" s="23" t="s">
        <v>37</v>
      </c>
      <c r="L85" s="23"/>
      <c r="M85" s="6"/>
      <c r="N85" s="6"/>
      <c r="O85" s="3"/>
      <c r="P85" s="6"/>
      <c r="Q85" s="6"/>
      <c r="R85" s="3"/>
    </row>
    <row r="86" spans="1:18" ht="26.45" customHeight="1" x14ac:dyDescent="0.2">
      <c r="A86" s="24"/>
      <c r="B86" s="7" t="s">
        <v>38</v>
      </c>
      <c r="C86" s="4" t="s">
        <v>2</v>
      </c>
      <c r="D86" s="4" t="s">
        <v>0</v>
      </c>
      <c r="F86" s="24"/>
      <c r="G86" s="7" t="s">
        <v>38</v>
      </c>
      <c r="H86" s="4" t="s">
        <v>2</v>
      </c>
      <c r="I86" s="4" t="s">
        <v>0</v>
      </c>
      <c r="K86" s="24"/>
      <c r="L86" s="24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2">
      <c r="A87" s="5">
        <v>43466</v>
      </c>
      <c r="B87" s="11">
        <v>30299</v>
      </c>
      <c r="C87" s="11">
        <v>102</v>
      </c>
      <c r="D87" s="11">
        <v>30401</v>
      </c>
      <c r="F87" s="5">
        <v>44197</v>
      </c>
      <c r="G87" s="11">
        <v>23031</v>
      </c>
      <c r="H87" s="11">
        <v>84</v>
      </c>
      <c r="I87" s="11">
        <v>23115</v>
      </c>
      <c r="K87" s="5">
        <v>43469</v>
      </c>
      <c r="L87" s="5">
        <v>44197</v>
      </c>
      <c r="M87" s="11">
        <v>-17066</v>
      </c>
      <c r="N87" s="11">
        <v>-1631</v>
      </c>
      <c r="O87" s="11">
        <v>-18697</v>
      </c>
      <c r="P87" s="8">
        <v>-0.42561787664912587</v>
      </c>
      <c r="Q87" s="8">
        <v>-0.95102040816326527</v>
      </c>
      <c r="R87" s="12">
        <v>-0.44716827704965079</v>
      </c>
    </row>
    <row r="88" spans="1:18" x14ac:dyDescent="0.2">
      <c r="A88" s="5">
        <v>43467</v>
      </c>
      <c r="B88" s="11">
        <v>33596</v>
      </c>
      <c r="C88" s="11">
        <v>550</v>
      </c>
      <c r="D88" s="11">
        <v>34146</v>
      </c>
      <c r="F88" s="5">
        <v>44198</v>
      </c>
      <c r="G88" s="11">
        <v>34569</v>
      </c>
      <c r="H88" s="11">
        <v>317</v>
      </c>
      <c r="I88" s="11">
        <v>34886</v>
      </c>
      <c r="K88" s="5">
        <v>43470</v>
      </c>
      <c r="L88" s="5">
        <v>44198</v>
      </c>
      <c r="M88" s="11">
        <v>559</v>
      </c>
      <c r="N88" s="11">
        <v>-186</v>
      </c>
      <c r="O88" s="11">
        <v>373</v>
      </c>
      <c r="P88" s="8">
        <v>1.6436342252278635E-2</v>
      </c>
      <c r="Q88" s="8">
        <v>-0.36978131212723653</v>
      </c>
      <c r="R88" s="12">
        <v>1.0807521803378517E-2</v>
      </c>
    </row>
    <row r="89" spans="1:18" x14ac:dyDescent="0.2">
      <c r="A89" s="5">
        <v>43468</v>
      </c>
      <c r="B89" s="11">
        <v>36668</v>
      </c>
      <c r="C89" s="11">
        <v>1712</v>
      </c>
      <c r="D89" s="11">
        <v>38380</v>
      </c>
      <c r="F89" s="5">
        <v>44199</v>
      </c>
      <c r="G89" s="11">
        <v>28990</v>
      </c>
      <c r="H89" s="11">
        <v>94</v>
      </c>
      <c r="I89" s="11">
        <v>29084</v>
      </c>
      <c r="K89" s="5">
        <v>43471</v>
      </c>
      <c r="L89" s="5">
        <v>44199</v>
      </c>
      <c r="M89" s="11">
        <v>-1280</v>
      </c>
      <c r="N89" s="11">
        <v>-32</v>
      </c>
      <c r="O89" s="11">
        <v>-1312</v>
      </c>
      <c r="P89" s="8">
        <v>-4.2286091840105677E-2</v>
      </c>
      <c r="Q89" s="8">
        <v>-0.25396825396825395</v>
      </c>
      <c r="R89" s="12">
        <v>-4.3163574154494011E-2</v>
      </c>
    </row>
    <row r="90" spans="1:18" x14ac:dyDescent="0.2">
      <c r="A90" s="5">
        <v>43469</v>
      </c>
      <c r="B90" s="11">
        <v>40097</v>
      </c>
      <c r="C90" s="11">
        <v>1715</v>
      </c>
      <c r="D90" s="11">
        <v>41812</v>
      </c>
      <c r="F90" s="5">
        <v>44200</v>
      </c>
      <c r="G90" s="11">
        <v>31030</v>
      </c>
      <c r="H90" s="11">
        <v>1627</v>
      </c>
      <c r="I90" s="11">
        <v>32657</v>
      </c>
      <c r="K90" s="5">
        <v>43472</v>
      </c>
      <c r="L90" s="5">
        <v>44200</v>
      </c>
      <c r="M90" s="11">
        <v>-5453</v>
      </c>
      <c r="N90" s="11">
        <v>-687</v>
      </c>
      <c r="O90" s="11">
        <v>-6140</v>
      </c>
      <c r="P90" s="8">
        <v>-0.1494668749828687</v>
      </c>
      <c r="Q90" s="8">
        <v>-0.29688850475367334</v>
      </c>
      <c r="R90" s="12">
        <v>-0.15825965925200403</v>
      </c>
    </row>
    <row r="91" spans="1:18" x14ac:dyDescent="0.2">
      <c r="A91" s="5">
        <v>43470</v>
      </c>
      <c r="B91" s="11">
        <v>34010</v>
      </c>
      <c r="C91" s="11">
        <v>503</v>
      </c>
      <c r="D91" s="11">
        <v>34513</v>
      </c>
      <c r="F91" s="5">
        <v>44201</v>
      </c>
      <c r="G91" s="11">
        <v>32467</v>
      </c>
      <c r="H91" s="11">
        <v>2011</v>
      </c>
      <c r="I91" s="11">
        <v>34478</v>
      </c>
      <c r="K91" s="5">
        <v>43473</v>
      </c>
      <c r="L91" s="5">
        <v>44201</v>
      </c>
      <c r="M91" s="11">
        <v>-4268</v>
      </c>
      <c r="N91" s="11">
        <v>-481</v>
      </c>
      <c r="O91" s="11">
        <v>-4749</v>
      </c>
      <c r="P91" s="8">
        <v>-0.11618347624880909</v>
      </c>
      <c r="Q91" s="8">
        <v>-0.1930176565008026</v>
      </c>
      <c r="R91" s="12">
        <v>-0.12106457287072681</v>
      </c>
    </row>
    <row r="92" spans="1:18" x14ac:dyDescent="0.2">
      <c r="A92" s="5">
        <v>43471</v>
      </c>
      <c r="B92" s="11">
        <v>30270</v>
      </c>
      <c r="C92" s="11">
        <v>126</v>
      </c>
      <c r="D92" s="11">
        <v>30396</v>
      </c>
      <c r="F92" s="5">
        <v>44202</v>
      </c>
      <c r="G92" s="11">
        <v>32034</v>
      </c>
      <c r="H92" s="11">
        <v>1823</v>
      </c>
      <c r="I92" s="11">
        <v>33857</v>
      </c>
      <c r="K92" s="5">
        <v>43474</v>
      </c>
      <c r="L92" s="5">
        <v>44202</v>
      </c>
      <c r="M92" s="11">
        <v>-5089</v>
      </c>
      <c r="N92" s="11">
        <v>-838</v>
      </c>
      <c r="O92" s="11">
        <v>-5927</v>
      </c>
      <c r="P92" s="8">
        <v>-0.13708482611857875</v>
      </c>
      <c r="Q92" s="8">
        <v>-0.31491920330702738</v>
      </c>
      <c r="R92" s="12">
        <v>-0.14897948924190629</v>
      </c>
    </row>
    <row r="93" spans="1:18" x14ac:dyDescent="0.2">
      <c r="A93" s="5">
        <v>43472</v>
      </c>
      <c r="B93" s="11">
        <v>36483</v>
      </c>
      <c r="C93" s="11">
        <v>2314</v>
      </c>
      <c r="D93" s="11">
        <v>38797</v>
      </c>
      <c r="F93" s="5">
        <v>44203</v>
      </c>
      <c r="G93" s="11">
        <v>33482</v>
      </c>
      <c r="H93" s="11">
        <v>2202</v>
      </c>
      <c r="I93" s="11">
        <v>35684</v>
      </c>
      <c r="K93" s="5">
        <v>43475</v>
      </c>
      <c r="L93" s="5">
        <v>44203</v>
      </c>
      <c r="M93" s="11">
        <v>-2443</v>
      </c>
      <c r="N93" s="11">
        <v>-468</v>
      </c>
      <c r="O93" s="11">
        <v>-2911</v>
      </c>
      <c r="P93" s="8">
        <v>-6.8002783576896264E-2</v>
      </c>
      <c r="Q93" s="8">
        <v>-0.17528089887640452</v>
      </c>
      <c r="R93" s="12">
        <v>-7.5424277756185987E-2</v>
      </c>
    </row>
    <row r="94" spans="1:18" x14ac:dyDescent="0.2">
      <c r="A94" s="5">
        <v>43473</v>
      </c>
      <c r="B94" s="11">
        <v>36735</v>
      </c>
      <c r="C94" s="11">
        <v>2492</v>
      </c>
      <c r="D94" s="11">
        <v>39227</v>
      </c>
      <c r="F94" s="5">
        <v>44204</v>
      </c>
      <c r="G94" s="11">
        <v>34605</v>
      </c>
      <c r="H94" s="11">
        <v>2221</v>
      </c>
      <c r="I94" s="11">
        <v>36826</v>
      </c>
      <c r="K94" s="5">
        <v>43476</v>
      </c>
      <c r="L94" s="5">
        <v>44204</v>
      </c>
      <c r="M94" s="11">
        <v>-5171</v>
      </c>
      <c r="N94" s="11">
        <v>-304</v>
      </c>
      <c r="O94" s="11">
        <v>-5475</v>
      </c>
      <c r="P94" s="8">
        <v>-0.1300030168946098</v>
      </c>
      <c r="Q94" s="8">
        <v>-0.12039603960396039</v>
      </c>
      <c r="R94" s="12">
        <v>-0.12942956431290042</v>
      </c>
    </row>
    <row r="95" spans="1:18" x14ac:dyDescent="0.2">
      <c r="A95" s="5">
        <v>43474</v>
      </c>
      <c r="B95" s="11">
        <v>37123</v>
      </c>
      <c r="C95" s="11">
        <v>2661</v>
      </c>
      <c r="D95" s="11">
        <v>39784</v>
      </c>
      <c r="F95" s="5">
        <v>44205</v>
      </c>
      <c r="G95" s="11">
        <v>33252</v>
      </c>
      <c r="H95" s="11">
        <v>470</v>
      </c>
      <c r="I95" s="11">
        <v>33722</v>
      </c>
      <c r="K95" s="5">
        <v>43477</v>
      </c>
      <c r="L95" s="5">
        <v>44205</v>
      </c>
      <c r="M95" s="11">
        <v>-3615</v>
      </c>
      <c r="N95" s="11">
        <v>-80</v>
      </c>
      <c r="O95" s="11">
        <v>-3695</v>
      </c>
      <c r="P95" s="8">
        <v>-9.8055171291398846E-2</v>
      </c>
      <c r="Q95" s="8">
        <v>-0.1454545454545455</v>
      </c>
      <c r="R95" s="12">
        <v>-9.8751904214661734E-2</v>
      </c>
    </row>
    <row r="96" spans="1:18" x14ac:dyDescent="0.2">
      <c r="A96" s="5">
        <v>43475</v>
      </c>
      <c r="B96" s="11">
        <v>35925</v>
      </c>
      <c r="C96" s="11">
        <v>2670</v>
      </c>
      <c r="D96" s="11">
        <v>38595</v>
      </c>
      <c r="F96" s="5">
        <v>44206</v>
      </c>
      <c r="G96" s="11">
        <v>31727</v>
      </c>
      <c r="H96" s="11">
        <v>97</v>
      </c>
      <c r="I96" s="11">
        <v>31824</v>
      </c>
      <c r="K96" s="5">
        <v>43478</v>
      </c>
      <c r="L96" s="5">
        <v>44206</v>
      </c>
      <c r="M96" s="11">
        <v>292</v>
      </c>
      <c r="N96" s="11">
        <v>-33</v>
      </c>
      <c r="O96" s="11">
        <v>259</v>
      </c>
      <c r="P96" s="8">
        <v>9.2890090663273472E-3</v>
      </c>
      <c r="Q96" s="8">
        <v>-0.25384615384615383</v>
      </c>
      <c r="R96" s="12">
        <v>8.2052906700458283E-3</v>
      </c>
    </row>
    <row r="97" spans="1:18" x14ac:dyDescent="0.2">
      <c r="A97" s="5">
        <v>43476</v>
      </c>
      <c r="B97" s="11">
        <v>39776</v>
      </c>
      <c r="C97" s="11">
        <v>2525</v>
      </c>
      <c r="D97" s="11">
        <v>42301</v>
      </c>
      <c r="F97" s="5">
        <v>44207</v>
      </c>
      <c r="G97" s="11">
        <v>33670</v>
      </c>
      <c r="H97" s="11">
        <v>2336</v>
      </c>
      <c r="I97" s="11">
        <v>36006</v>
      </c>
      <c r="K97" s="5">
        <v>43479</v>
      </c>
      <c r="L97" s="5">
        <v>44207</v>
      </c>
      <c r="M97" s="11">
        <v>-4510</v>
      </c>
      <c r="N97" s="11">
        <v>-404</v>
      </c>
      <c r="O97" s="11">
        <v>-4914</v>
      </c>
      <c r="P97" s="8">
        <v>-0.11812467260345727</v>
      </c>
      <c r="Q97" s="8">
        <v>-0.14744525547445253</v>
      </c>
      <c r="R97" s="12">
        <v>-0.12008797653958947</v>
      </c>
    </row>
    <row r="98" spans="1:18" x14ac:dyDescent="0.2">
      <c r="A98" s="5">
        <v>43477</v>
      </c>
      <c r="B98" s="11">
        <v>36867</v>
      </c>
      <c r="C98" s="11">
        <v>550</v>
      </c>
      <c r="D98" s="11">
        <v>37417</v>
      </c>
      <c r="F98" s="5">
        <v>44208</v>
      </c>
      <c r="G98" s="11">
        <v>32135</v>
      </c>
      <c r="H98" s="11">
        <v>2589</v>
      </c>
      <c r="I98" s="11">
        <v>34724</v>
      </c>
      <c r="K98" s="5">
        <v>43480</v>
      </c>
      <c r="L98" s="5">
        <v>44208</v>
      </c>
      <c r="M98" s="11">
        <v>-7371</v>
      </c>
      <c r="N98" s="11">
        <v>-274</v>
      </c>
      <c r="O98" s="11">
        <v>-7645</v>
      </c>
      <c r="P98" s="8">
        <v>-0.18657925378423534</v>
      </c>
      <c r="Q98" s="8">
        <v>-9.5703807195249735E-2</v>
      </c>
      <c r="R98" s="12">
        <v>-0.18043852816918027</v>
      </c>
    </row>
    <row r="99" spans="1:18" x14ac:dyDescent="0.2">
      <c r="A99" s="5">
        <v>43478</v>
      </c>
      <c r="B99" s="11">
        <v>31435</v>
      </c>
      <c r="C99" s="11">
        <v>130</v>
      </c>
      <c r="D99" s="11">
        <v>31565</v>
      </c>
      <c r="F99" s="5">
        <v>44209</v>
      </c>
      <c r="G99" s="11">
        <v>33141</v>
      </c>
      <c r="H99" s="11">
        <v>2616</v>
      </c>
      <c r="I99" s="11">
        <v>35757</v>
      </c>
      <c r="K99" s="5">
        <v>43481</v>
      </c>
      <c r="L99" s="5">
        <v>44209</v>
      </c>
      <c r="M99" s="11">
        <v>-8004</v>
      </c>
      <c r="N99" s="11">
        <v>-324</v>
      </c>
      <c r="O99" s="11">
        <v>-8328</v>
      </c>
      <c r="P99" s="8">
        <v>-0.19453153481589502</v>
      </c>
      <c r="Q99" s="8">
        <v>-0.11020408163265305</v>
      </c>
      <c r="R99" s="12">
        <v>-0.18890779176590677</v>
      </c>
    </row>
    <row r="100" spans="1:18" x14ac:dyDescent="0.2">
      <c r="A100" s="5">
        <v>43479</v>
      </c>
      <c r="B100" s="11">
        <v>38180</v>
      </c>
      <c r="C100" s="11">
        <v>2740</v>
      </c>
      <c r="D100" s="11">
        <v>40920</v>
      </c>
      <c r="F100" s="5">
        <v>44210</v>
      </c>
      <c r="G100" s="11">
        <v>28189</v>
      </c>
      <c r="H100" s="11">
        <v>2515</v>
      </c>
      <c r="I100" s="11">
        <v>30704</v>
      </c>
      <c r="K100" s="5">
        <v>43482</v>
      </c>
      <c r="L100" s="5">
        <v>44210</v>
      </c>
      <c r="M100" s="11">
        <v>-12340</v>
      </c>
      <c r="N100" s="11">
        <v>-433</v>
      </c>
      <c r="O100" s="11">
        <v>-12773</v>
      </c>
      <c r="P100" s="8">
        <v>-0.3044733400774754</v>
      </c>
      <c r="Q100" s="8">
        <v>-0.14687924016282228</v>
      </c>
      <c r="R100" s="12">
        <v>-0.29378751983807527</v>
      </c>
    </row>
    <row r="101" spans="1:18" x14ac:dyDescent="0.2">
      <c r="A101" s="5">
        <v>43480</v>
      </c>
      <c r="B101" s="11">
        <v>39506</v>
      </c>
      <c r="C101" s="11">
        <v>2863</v>
      </c>
      <c r="D101" s="11">
        <v>42369</v>
      </c>
      <c r="F101" s="5">
        <v>44211</v>
      </c>
      <c r="G101" s="11">
        <v>24839</v>
      </c>
      <c r="H101" s="11">
        <v>2223</v>
      </c>
      <c r="I101" s="11">
        <v>27062</v>
      </c>
      <c r="K101" s="5">
        <v>43483</v>
      </c>
      <c r="L101" s="5">
        <v>44211</v>
      </c>
      <c r="M101" s="11">
        <v>-17435</v>
      </c>
      <c r="N101" s="11">
        <v>-485</v>
      </c>
      <c r="O101" s="11">
        <v>-17920</v>
      </c>
      <c r="P101" s="8">
        <v>-0.4124284430146189</v>
      </c>
      <c r="Q101" s="8">
        <v>-0.17909896602658792</v>
      </c>
      <c r="R101" s="12">
        <v>-0.39838157485216308</v>
      </c>
    </row>
    <row r="102" spans="1:18" x14ac:dyDescent="0.2">
      <c r="A102" s="5">
        <v>43481</v>
      </c>
      <c r="B102" s="11">
        <v>41145</v>
      </c>
      <c r="C102" s="11">
        <v>2940</v>
      </c>
      <c r="D102" s="11">
        <v>44085</v>
      </c>
      <c r="F102" s="5">
        <v>44212</v>
      </c>
      <c r="G102" s="11">
        <v>28933</v>
      </c>
      <c r="H102" s="11">
        <v>615</v>
      </c>
      <c r="I102" s="11">
        <v>29548</v>
      </c>
      <c r="K102" s="5">
        <v>43484</v>
      </c>
      <c r="L102" s="5">
        <v>44212</v>
      </c>
      <c r="M102" s="11">
        <v>-11101</v>
      </c>
      <c r="N102" s="11">
        <v>36</v>
      </c>
      <c r="O102" s="11">
        <v>-11065</v>
      </c>
      <c r="P102" s="8">
        <v>-0.27728930409152219</v>
      </c>
      <c r="Q102" s="8">
        <v>6.2176165803108807E-2</v>
      </c>
      <c r="R102" s="12">
        <v>-0.27244970822150538</v>
      </c>
    </row>
    <row r="103" spans="1:18" x14ac:dyDescent="0.2">
      <c r="A103" s="5">
        <v>43482</v>
      </c>
      <c r="B103" s="11">
        <v>40529</v>
      </c>
      <c r="C103" s="11">
        <v>2948</v>
      </c>
      <c r="D103" s="11">
        <v>43477</v>
      </c>
      <c r="F103" s="5">
        <v>44213</v>
      </c>
      <c r="G103" s="11">
        <v>20833</v>
      </c>
      <c r="H103" s="11">
        <v>102</v>
      </c>
      <c r="I103" s="11">
        <v>20935</v>
      </c>
      <c r="K103" s="5">
        <v>43485</v>
      </c>
      <c r="L103" s="5">
        <v>44213</v>
      </c>
      <c r="M103" s="11">
        <v>-15261</v>
      </c>
      <c r="N103" s="11">
        <v>-43</v>
      </c>
      <c r="O103" s="11">
        <v>-15304</v>
      </c>
      <c r="P103" s="8">
        <v>-0.42281265584307637</v>
      </c>
      <c r="Q103" s="8">
        <v>-0.29655172413793107</v>
      </c>
      <c r="R103" s="12">
        <v>-0.42230745881508869</v>
      </c>
    </row>
    <row r="104" spans="1:18" x14ac:dyDescent="0.2">
      <c r="A104" s="5">
        <v>43483</v>
      </c>
      <c r="B104" s="11">
        <v>42274</v>
      </c>
      <c r="C104" s="11">
        <v>2708</v>
      </c>
      <c r="D104" s="11">
        <v>44982</v>
      </c>
      <c r="F104" s="5">
        <v>44214</v>
      </c>
      <c r="G104" s="11">
        <v>30759</v>
      </c>
      <c r="H104" s="11">
        <v>2747</v>
      </c>
      <c r="I104" s="11">
        <v>33506</v>
      </c>
      <c r="K104" s="5">
        <v>43486</v>
      </c>
      <c r="L104" s="5">
        <v>44214</v>
      </c>
      <c r="M104" s="11">
        <v>-9151</v>
      </c>
      <c r="N104" s="11">
        <v>-46</v>
      </c>
      <c r="O104" s="11">
        <v>-9197</v>
      </c>
      <c r="P104" s="8">
        <v>-0.22929090453520418</v>
      </c>
      <c r="Q104" s="8">
        <v>-1.6469745793054047E-2</v>
      </c>
      <c r="R104" s="12">
        <v>-0.21537128538978523</v>
      </c>
    </row>
    <row r="105" spans="1:18" x14ac:dyDescent="0.2">
      <c r="A105" s="5">
        <v>43484</v>
      </c>
      <c r="B105" s="11">
        <v>40034</v>
      </c>
      <c r="C105" s="11">
        <v>579</v>
      </c>
      <c r="D105" s="11">
        <v>40613</v>
      </c>
      <c r="F105" s="5">
        <v>44215</v>
      </c>
      <c r="G105" s="11">
        <v>32517</v>
      </c>
      <c r="H105" s="11">
        <v>2948</v>
      </c>
      <c r="I105" s="11">
        <v>35465</v>
      </c>
      <c r="K105" s="5">
        <v>43487</v>
      </c>
      <c r="L105" s="5">
        <v>44215</v>
      </c>
      <c r="M105" s="11">
        <v>-7926</v>
      </c>
      <c r="N105" s="11">
        <v>94</v>
      </c>
      <c r="O105" s="11">
        <v>-7832</v>
      </c>
      <c r="P105" s="8">
        <v>-0.19597952674133967</v>
      </c>
      <c r="Q105" s="8">
        <v>3.2936229852838173E-2</v>
      </c>
      <c r="R105" s="12">
        <v>-0.18089013095595541</v>
      </c>
    </row>
    <row r="106" spans="1:18" x14ac:dyDescent="0.2">
      <c r="A106" s="5">
        <v>43485</v>
      </c>
      <c r="B106" s="11">
        <v>36094</v>
      </c>
      <c r="C106" s="11">
        <v>145</v>
      </c>
      <c r="D106" s="11">
        <v>36239</v>
      </c>
      <c r="F106" s="5">
        <v>44216</v>
      </c>
      <c r="G106" s="11">
        <v>33777</v>
      </c>
      <c r="H106" s="11">
        <v>2982</v>
      </c>
      <c r="I106" s="11">
        <v>36759</v>
      </c>
      <c r="K106" s="5">
        <v>43488</v>
      </c>
      <c r="L106" s="5">
        <v>44216</v>
      </c>
      <c r="M106" s="11">
        <v>-7524</v>
      </c>
      <c r="N106" s="11">
        <v>125</v>
      </c>
      <c r="O106" s="11">
        <v>-7399</v>
      </c>
      <c r="P106" s="8">
        <v>-0.1821747657441708</v>
      </c>
      <c r="Q106" s="8">
        <v>4.3752187609380488E-2</v>
      </c>
      <c r="R106" s="12">
        <v>-0.16755740749128134</v>
      </c>
    </row>
    <row r="107" spans="1:18" x14ac:dyDescent="0.2">
      <c r="A107" s="5">
        <v>43486</v>
      </c>
      <c r="B107" s="11">
        <v>39910</v>
      </c>
      <c r="C107" s="11">
        <v>2793</v>
      </c>
      <c r="D107" s="11">
        <v>42703</v>
      </c>
      <c r="F107" s="5">
        <v>44217</v>
      </c>
      <c r="G107" s="11">
        <v>33556</v>
      </c>
      <c r="H107" s="11">
        <v>2952</v>
      </c>
      <c r="I107" s="11">
        <v>36508</v>
      </c>
      <c r="K107" s="5">
        <v>43489</v>
      </c>
      <c r="L107" s="5">
        <v>44217</v>
      </c>
      <c r="M107" s="11">
        <v>-7303</v>
      </c>
      <c r="N107" s="11">
        <v>156</v>
      </c>
      <c r="O107" s="11">
        <v>-7147</v>
      </c>
      <c r="P107" s="8">
        <v>-0.17873663085244373</v>
      </c>
      <c r="Q107" s="8">
        <v>5.579399141630903E-2</v>
      </c>
      <c r="R107" s="12">
        <v>-0.16371549650670025</v>
      </c>
    </row>
    <row r="108" spans="1:18" x14ac:dyDescent="0.2">
      <c r="A108" s="5">
        <v>43487</v>
      </c>
      <c r="B108" s="11">
        <v>40443</v>
      </c>
      <c r="C108" s="11">
        <v>2854</v>
      </c>
      <c r="D108" s="11">
        <v>43297</v>
      </c>
      <c r="F108" s="5">
        <v>44218</v>
      </c>
      <c r="G108" s="11">
        <v>35688</v>
      </c>
      <c r="H108" s="11">
        <v>2750</v>
      </c>
      <c r="I108" s="11">
        <v>38438</v>
      </c>
      <c r="K108" s="5">
        <v>43490</v>
      </c>
      <c r="L108" s="5">
        <v>44218</v>
      </c>
      <c r="M108" s="11">
        <v>-7886</v>
      </c>
      <c r="N108" s="11">
        <v>124</v>
      </c>
      <c r="O108" s="11">
        <v>-7762</v>
      </c>
      <c r="P108" s="8">
        <v>-0.18097948317804191</v>
      </c>
      <c r="Q108" s="8">
        <v>4.7220106626047142E-2</v>
      </c>
      <c r="R108" s="12">
        <v>-0.16800865800865805</v>
      </c>
    </row>
    <row r="109" spans="1:18" x14ac:dyDescent="0.2">
      <c r="A109" s="5">
        <v>43488</v>
      </c>
      <c r="B109" s="11">
        <v>41301</v>
      </c>
      <c r="C109" s="11">
        <v>2857</v>
      </c>
      <c r="D109" s="11">
        <v>44158</v>
      </c>
      <c r="F109" s="5">
        <v>44219</v>
      </c>
      <c r="G109" s="11">
        <v>29897</v>
      </c>
      <c r="H109" s="11">
        <v>556</v>
      </c>
      <c r="I109" s="11">
        <v>30453</v>
      </c>
      <c r="K109" s="5">
        <v>43491</v>
      </c>
      <c r="L109" s="5">
        <v>44219</v>
      </c>
      <c r="M109" s="11">
        <v>-10204</v>
      </c>
      <c r="N109" s="11">
        <v>-52</v>
      </c>
      <c r="O109" s="11">
        <v>-10256</v>
      </c>
      <c r="P109" s="8">
        <v>-0.25445749482556546</v>
      </c>
      <c r="Q109" s="8">
        <v>-8.5526315789473673E-2</v>
      </c>
      <c r="R109" s="12">
        <v>-0.25193446166695321</v>
      </c>
    </row>
    <row r="110" spans="1:18" x14ac:dyDescent="0.2">
      <c r="A110" s="5">
        <v>43489</v>
      </c>
      <c r="B110" s="11">
        <v>40859</v>
      </c>
      <c r="C110" s="11">
        <v>2796</v>
      </c>
      <c r="D110" s="11">
        <v>43655</v>
      </c>
      <c r="F110" s="5">
        <v>44220</v>
      </c>
      <c r="G110" s="11">
        <v>30161</v>
      </c>
      <c r="H110" s="11">
        <v>112</v>
      </c>
      <c r="I110" s="11">
        <v>30273</v>
      </c>
      <c r="K110" s="5">
        <v>43492</v>
      </c>
      <c r="L110" s="5">
        <v>44220</v>
      </c>
      <c r="M110" s="11">
        <v>-5544</v>
      </c>
      <c r="N110" s="11">
        <v>-52</v>
      </c>
      <c r="O110" s="11">
        <v>-5596</v>
      </c>
      <c r="P110" s="8">
        <v>-0.15527237081641232</v>
      </c>
      <c r="Q110" s="8">
        <v>-0.31707317073170727</v>
      </c>
      <c r="R110" s="12">
        <v>-0.1560121553430539</v>
      </c>
    </row>
    <row r="111" spans="1:18" x14ac:dyDescent="0.2">
      <c r="A111" s="5">
        <v>43490</v>
      </c>
      <c r="B111" s="11">
        <v>43574</v>
      </c>
      <c r="C111" s="11">
        <v>2626</v>
      </c>
      <c r="D111" s="11">
        <v>46200</v>
      </c>
      <c r="F111" s="5">
        <v>44221</v>
      </c>
      <c r="G111" s="11">
        <v>30207</v>
      </c>
      <c r="H111" s="11">
        <v>2578</v>
      </c>
      <c r="I111" s="11">
        <v>32785</v>
      </c>
      <c r="K111" s="5">
        <v>43493</v>
      </c>
      <c r="L111" s="5">
        <v>44221</v>
      </c>
      <c r="M111" s="11">
        <f t="shared" ref="M111:M113" si="16">G111-B114</f>
        <v>-8545</v>
      </c>
      <c r="N111" s="11">
        <f t="shared" ref="N111:N113" si="17">H111-C114</f>
        <v>-19</v>
      </c>
      <c r="O111" s="11">
        <f t="shared" ref="O111:O113" si="18">I111-D114</f>
        <v>-8564</v>
      </c>
      <c r="P111" s="8">
        <f t="shared" ref="P111:P113" si="19">G111/B114-1</f>
        <v>-0.22050474814203136</v>
      </c>
      <c r="Q111" s="8">
        <f t="shared" ref="Q111:Q113" si="20">H111/C114-1</f>
        <v>-7.3161340007701359E-3</v>
      </c>
      <c r="R111" s="12">
        <f t="shared" ref="R111:R113" si="21">I111/D114-1</f>
        <v>-0.20711504510387191</v>
      </c>
    </row>
    <row r="112" spans="1:18" x14ac:dyDescent="0.2">
      <c r="A112" s="5">
        <v>43491</v>
      </c>
      <c r="B112" s="11">
        <v>40101</v>
      </c>
      <c r="C112" s="11">
        <v>608</v>
      </c>
      <c r="D112" s="11">
        <v>40709</v>
      </c>
      <c r="F112" s="5">
        <v>44222</v>
      </c>
      <c r="G112" s="11">
        <v>34613</v>
      </c>
      <c r="H112" s="11">
        <v>2636</v>
      </c>
      <c r="I112" s="11">
        <v>37249</v>
      </c>
      <c r="K112" s="5">
        <v>43494</v>
      </c>
      <c r="L112" s="5">
        <v>44222</v>
      </c>
      <c r="M112" s="11">
        <f t="shared" si="16"/>
        <v>-5864</v>
      </c>
      <c r="N112" s="11">
        <f t="shared" si="17"/>
        <v>-272</v>
      </c>
      <c r="O112" s="11">
        <f t="shared" si="18"/>
        <v>-6136</v>
      </c>
      <c r="P112" s="8">
        <f t="shared" si="19"/>
        <v>-0.14487239666971363</v>
      </c>
      <c r="Q112" s="8">
        <f t="shared" si="20"/>
        <v>-9.3535075653370048E-2</v>
      </c>
      <c r="R112" s="12">
        <f t="shared" si="21"/>
        <v>-0.14143137028927044</v>
      </c>
    </row>
    <row r="113" spans="1:18" x14ac:dyDescent="0.2">
      <c r="A113" s="5">
        <v>43492</v>
      </c>
      <c r="B113" s="11">
        <v>35705</v>
      </c>
      <c r="C113" s="11">
        <v>164</v>
      </c>
      <c r="D113" s="11">
        <v>35869</v>
      </c>
      <c r="F113" s="5">
        <v>44223</v>
      </c>
      <c r="G113" s="11">
        <v>31031</v>
      </c>
      <c r="H113" s="11">
        <v>2561</v>
      </c>
      <c r="I113" s="11">
        <v>33592</v>
      </c>
      <c r="K113" s="5">
        <v>43495</v>
      </c>
      <c r="L113" s="5">
        <v>44223</v>
      </c>
      <c r="M113" s="11">
        <f t="shared" si="16"/>
        <v>-9858</v>
      </c>
      <c r="N113" s="11">
        <f t="shared" si="17"/>
        <v>-442</v>
      </c>
      <c r="O113" s="11">
        <f t="shared" si="18"/>
        <v>-10300</v>
      </c>
      <c r="P113" s="8">
        <f t="shared" si="19"/>
        <v>-0.24109173616376045</v>
      </c>
      <c r="Q113" s="8">
        <f t="shared" si="20"/>
        <v>-0.1471861471861472</v>
      </c>
      <c r="R113" s="12">
        <f t="shared" si="21"/>
        <v>-0.23466690968741455</v>
      </c>
    </row>
    <row r="114" spans="1:18" x14ac:dyDescent="0.2">
      <c r="A114" s="5">
        <v>43493</v>
      </c>
      <c r="B114" s="11">
        <v>38752</v>
      </c>
      <c r="C114" s="11">
        <v>2597</v>
      </c>
      <c r="D114" s="11">
        <v>41349</v>
      </c>
      <c r="F114" s="5">
        <v>44224</v>
      </c>
      <c r="G114" s="11">
        <v>33040</v>
      </c>
      <c r="H114" s="11">
        <v>2795</v>
      </c>
      <c r="I114" s="11">
        <v>35835</v>
      </c>
      <c r="K114" s="5">
        <v>43496</v>
      </c>
      <c r="L114" s="5">
        <v>44224</v>
      </c>
      <c r="M114" s="11">
        <f t="shared" ref="M114:M117" si="22">G114-B117</f>
        <v>-7511</v>
      </c>
      <c r="N114" s="11">
        <f t="shared" ref="N114:N117" si="23">H114-C117</f>
        <v>-151</v>
      </c>
      <c r="O114" s="11">
        <f t="shared" ref="O114:O117" si="24">I114-D117</f>
        <v>-7662</v>
      </c>
      <c r="P114" s="8">
        <f t="shared" ref="P114:P117" si="25">G114/B117-1</f>
        <v>-0.18522354565855348</v>
      </c>
      <c r="Q114" s="8">
        <f t="shared" ref="Q114:Q117" si="26">H114/C117-1</f>
        <v>-5.1255940257976973E-2</v>
      </c>
      <c r="R114" s="12">
        <f t="shared" ref="R114:R117" si="27">I114/D117-1</f>
        <v>-0.17615007931581483</v>
      </c>
    </row>
    <row r="115" spans="1:18" x14ac:dyDescent="0.2">
      <c r="A115" s="5">
        <v>43494</v>
      </c>
      <c r="B115" s="11">
        <v>40477</v>
      </c>
      <c r="C115" s="11">
        <v>2908</v>
      </c>
      <c r="D115" s="11">
        <v>43385</v>
      </c>
      <c r="F115" s="5">
        <v>44225</v>
      </c>
      <c r="G115" s="11">
        <v>35833</v>
      </c>
      <c r="H115" s="11">
        <v>2856</v>
      </c>
      <c r="I115" s="11">
        <v>38689</v>
      </c>
      <c r="K115" s="5">
        <v>43497</v>
      </c>
      <c r="L115" s="5">
        <v>44225</v>
      </c>
      <c r="M115" s="11">
        <f t="shared" si="22"/>
        <v>-7076</v>
      </c>
      <c r="N115" s="11">
        <f t="shared" si="23"/>
        <v>174</v>
      </c>
      <c r="O115" s="11">
        <f t="shared" si="24"/>
        <v>-6902</v>
      </c>
      <c r="P115" s="8">
        <f t="shared" si="25"/>
        <v>-0.16490712904052762</v>
      </c>
      <c r="Q115" s="8">
        <f t="shared" si="26"/>
        <v>6.487695749440725E-2</v>
      </c>
      <c r="R115" s="12">
        <f t="shared" si="27"/>
        <v>-0.15138952863503763</v>
      </c>
    </row>
    <row r="116" spans="1:18" x14ac:dyDescent="0.2">
      <c r="A116" s="5">
        <v>43495</v>
      </c>
      <c r="B116" s="11">
        <v>40889</v>
      </c>
      <c r="C116" s="11">
        <v>3003</v>
      </c>
      <c r="D116" s="11">
        <v>43892</v>
      </c>
      <c r="F116" s="5">
        <v>44226</v>
      </c>
      <c r="G116" s="11">
        <v>30796</v>
      </c>
      <c r="H116" s="11">
        <v>586</v>
      </c>
      <c r="I116" s="11">
        <v>31382</v>
      </c>
      <c r="K116" s="5">
        <v>43498</v>
      </c>
      <c r="L116" s="5">
        <v>44226</v>
      </c>
      <c r="M116" s="11">
        <f t="shared" si="22"/>
        <v>-8157</v>
      </c>
      <c r="N116" s="11">
        <f t="shared" si="23"/>
        <v>-2</v>
      </c>
      <c r="O116" s="11">
        <f t="shared" si="24"/>
        <v>-8159</v>
      </c>
      <c r="P116" s="8">
        <f t="shared" si="25"/>
        <v>-0.20940620748081018</v>
      </c>
      <c r="Q116" s="8">
        <f t="shared" si="26"/>
        <v>-3.4013605442176909E-3</v>
      </c>
      <c r="R116" s="12">
        <f t="shared" si="27"/>
        <v>-0.2063427834399737</v>
      </c>
    </row>
    <row r="117" spans="1:18" x14ac:dyDescent="0.2">
      <c r="A117" s="5">
        <v>43496</v>
      </c>
      <c r="B117" s="11">
        <v>40551</v>
      </c>
      <c r="C117" s="11">
        <v>2946</v>
      </c>
      <c r="D117" s="11">
        <v>43497</v>
      </c>
      <c r="F117" s="5">
        <v>44227</v>
      </c>
      <c r="G117" s="11">
        <v>26808</v>
      </c>
      <c r="H117" s="11">
        <v>104</v>
      </c>
      <c r="I117" s="11">
        <v>26912</v>
      </c>
      <c r="K117" s="5">
        <v>43499</v>
      </c>
      <c r="L117" s="5">
        <v>44227</v>
      </c>
      <c r="M117" s="11">
        <f t="shared" si="22"/>
        <v>-4062</v>
      </c>
      <c r="N117" s="11">
        <f t="shared" si="23"/>
        <v>-73</v>
      </c>
      <c r="O117" s="11">
        <f t="shared" si="24"/>
        <v>-4135</v>
      </c>
      <c r="P117" s="8">
        <f t="shared" si="25"/>
        <v>-0.13158406219630714</v>
      </c>
      <c r="Q117" s="8">
        <f t="shared" si="26"/>
        <v>-0.41242937853107342</v>
      </c>
      <c r="R117" s="12">
        <f t="shared" si="27"/>
        <v>-0.13318517086997128</v>
      </c>
    </row>
    <row r="118" spans="1:18" x14ac:dyDescent="0.2">
      <c r="A118" s="5">
        <v>43497</v>
      </c>
      <c r="B118" s="11">
        <v>42909</v>
      </c>
      <c r="C118" s="11">
        <v>2682</v>
      </c>
      <c r="D118" s="11">
        <v>45591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2">
      <c r="A119" s="5">
        <v>43498</v>
      </c>
      <c r="B119" s="11">
        <v>38953</v>
      </c>
      <c r="C119" s="11">
        <v>588</v>
      </c>
      <c r="D119" s="11">
        <v>39541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2">
      <c r="A120" s="5">
        <v>43499</v>
      </c>
      <c r="B120" s="11">
        <v>30870</v>
      </c>
      <c r="C120" s="11">
        <v>177</v>
      </c>
      <c r="D120" s="11">
        <v>31047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Kronenberg  Philipp</cp:lastModifiedBy>
  <dcterms:created xsi:type="dcterms:W3CDTF">2020-03-23T19:47:35Z</dcterms:created>
  <dcterms:modified xsi:type="dcterms:W3CDTF">2021-02-16T13:36:56Z</dcterms:modified>
</cp:coreProperties>
</file>