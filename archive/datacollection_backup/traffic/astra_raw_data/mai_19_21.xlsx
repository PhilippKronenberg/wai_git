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64011"/>
  <mc:AlternateContent xmlns:mc="http://schemas.openxmlformats.org/markup-compatibility/2006">
    <mc:Choice Requires="x15">
      <x15ac:absPath xmlns:x15ac="http://schemas.microsoft.com/office/spreadsheetml/2010/11/ac" url="\\adb.intra.admin.ch\Userhome$\All\Config\Desktop\Covid Auswertung\"/>
    </mc:Choice>
  </mc:AlternateContent>
  <bookViews>
    <workbookView xWindow="0" yWindow="0" windowWidth="23040" windowHeight="8940" tabRatio="900"/>
  </bookViews>
  <sheets>
    <sheet name="UMF. BERN OST" sheetId="1" r:id="rId1"/>
    <sheet name="SAN BERNARDINO" sheetId="2" r:id="rId2"/>
    <sheet name="BASEL" sheetId="3" r:id="rId3"/>
    <sheet name=" CHIASSO" sheetId="4" r:id="rId4"/>
    <sheet name="SIMPLON" sheetId="5" r:id="rId5"/>
    <sheet name="GOTTHARDTUNNEL" sheetId="6" r:id="rId6"/>
    <sheet name="COPPET" sheetId="7" r:id="rId7"/>
    <sheet name="WUERENLOS" sheetId="8" r:id="rId8"/>
    <sheet name="RENENS" sheetId="10" r:id="rId9"/>
    <sheet name="AESCHERTUNNEL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1" i="2" l="1"/>
  <c r="R117" i="9"/>
  <c r="Q117" i="9"/>
  <c r="P117" i="9"/>
  <c r="O117" i="9"/>
  <c r="N117" i="9"/>
  <c r="M117" i="9"/>
  <c r="R79" i="9"/>
  <c r="Q79" i="9"/>
  <c r="P79" i="9"/>
  <c r="O79" i="9"/>
  <c r="N79" i="9"/>
  <c r="M79" i="9"/>
  <c r="R41" i="9"/>
  <c r="Q41" i="9"/>
  <c r="P41" i="9"/>
  <c r="O41" i="9"/>
  <c r="N41" i="9"/>
  <c r="M41" i="9"/>
  <c r="R117" i="10"/>
  <c r="Q117" i="10"/>
  <c r="P117" i="10"/>
  <c r="O117" i="10"/>
  <c r="N117" i="10"/>
  <c r="M117" i="10"/>
  <c r="R79" i="10"/>
  <c r="Q79" i="10"/>
  <c r="P79" i="10"/>
  <c r="O79" i="10"/>
  <c r="N79" i="10"/>
  <c r="M79" i="10"/>
  <c r="R41" i="10"/>
  <c r="Q41" i="10"/>
  <c r="P41" i="10"/>
  <c r="O41" i="10"/>
  <c r="N41" i="10"/>
  <c r="M41" i="10"/>
  <c r="R117" i="8"/>
  <c r="Q117" i="8"/>
  <c r="P117" i="8"/>
  <c r="O117" i="8"/>
  <c r="N117" i="8"/>
  <c r="M117" i="8"/>
  <c r="R79" i="8"/>
  <c r="Q79" i="8"/>
  <c r="P79" i="8"/>
  <c r="O79" i="8"/>
  <c r="N79" i="8"/>
  <c r="M79" i="8"/>
  <c r="R41" i="8"/>
  <c r="Q41" i="8"/>
  <c r="P41" i="8"/>
  <c r="O41" i="8"/>
  <c r="N41" i="8"/>
  <c r="M41" i="8"/>
  <c r="R117" i="6"/>
  <c r="Q117" i="6"/>
  <c r="P117" i="6"/>
  <c r="O117" i="6"/>
  <c r="N117" i="6"/>
  <c r="M117" i="6"/>
  <c r="R79" i="6"/>
  <c r="Q79" i="6"/>
  <c r="P79" i="6"/>
  <c r="O79" i="6"/>
  <c r="N79" i="6"/>
  <c r="M79" i="6"/>
  <c r="R41" i="6"/>
  <c r="Q41" i="6"/>
  <c r="P41" i="6"/>
  <c r="O41" i="6"/>
  <c r="N41" i="6"/>
  <c r="M41" i="6"/>
  <c r="R117" i="5"/>
  <c r="Q117" i="5"/>
  <c r="P117" i="5"/>
  <c r="O117" i="5"/>
  <c r="N117" i="5"/>
  <c r="M117" i="5"/>
  <c r="R79" i="5"/>
  <c r="Q79" i="5"/>
  <c r="P79" i="5"/>
  <c r="O79" i="5"/>
  <c r="N79" i="5"/>
  <c r="M79" i="5"/>
  <c r="R41" i="5"/>
  <c r="Q41" i="5"/>
  <c r="P41" i="5"/>
  <c r="O41" i="5"/>
  <c r="N41" i="5"/>
  <c r="M41" i="5"/>
  <c r="R117" i="4"/>
  <c r="Q117" i="4"/>
  <c r="P117" i="4"/>
  <c r="O117" i="4"/>
  <c r="N117" i="4"/>
  <c r="M117" i="4"/>
  <c r="R79" i="4"/>
  <c r="Q79" i="4"/>
  <c r="P79" i="4"/>
  <c r="O79" i="4"/>
  <c r="N79" i="4"/>
  <c r="M79" i="4"/>
  <c r="R41" i="4"/>
  <c r="Q41" i="4"/>
  <c r="P41" i="4"/>
  <c r="O41" i="4"/>
  <c r="N41" i="4"/>
  <c r="M41" i="4"/>
  <c r="R117" i="3"/>
  <c r="Q117" i="3"/>
  <c r="P117" i="3"/>
  <c r="O117" i="3"/>
  <c r="N117" i="3"/>
  <c r="M117" i="3"/>
  <c r="R79" i="3"/>
  <c r="Q79" i="3"/>
  <c r="P79" i="3"/>
  <c r="O79" i="3"/>
  <c r="N79" i="3"/>
  <c r="M79" i="3"/>
  <c r="R41" i="3"/>
  <c r="Q41" i="3"/>
  <c r="P41" i="3"/>
  <c r="O41" i="3"/>
  <c r="N41" i="3"/>
  <c r="M41" i="3"/>
  <c r="R117" i="2"/>
  <c r="Q117" i="2"/>
  <c r="P117" i="2"/>
  <c r="O117" i="2"/>
  <c r="N117" i="2"/>
  <c r="M117" i="2"/>
  <c r="R79" i="2"/>
  <c r="Q79" i="2"/>
  <c r="P79" i="2"/>
  <c r="O79" i="2"/>
  <c r="N79" i="2"/>
  <c r="M79" i="2"/>
  <c r="Q41" i="2"/>
  <c r="N41" i="2"/>
  <c r="R117" i="1"/>
  <c r="Q117" i="1"/>
  <c r="P117" i="1"/>
  <c r="O117" i="1"/>
  <c r="N117" i="1"/>
  <c r="M117" i="1"/>
  <c r="R79" i="1"/>
  <c r="Q79" i="1"/>
  <c r="P79" i="1"/>
  <c r="O79" i="1"/>
  <c r="N79" i="1"/>
  <c r="M79" i="1"/>
  <c r="R41" i="1"/>
  <c r="Q41" i="1"/>
  <c r="P41" i="1"/>
  <c r="O41" i="1"/>
  <c r="N41" i="1"/>
  <c r="M41" i="1"/>
  <c r="O41" i="2" l="1"/>
  <c r="R41" i="2"/>
  <c r="P41" i="2"/>
</calcChain>
</file>

<file path=xl/comments1.xml><?xml version="1.0" encoding="utf-8"?>
<comments xmlns="http://schemas.openxmlformats.org/spreadsheetml/2006/main">
  <authors>
    <author>Pirkelbauer Sigrid ASTRA</author>
  </authors>
  <commentList>
    <comment ref="F23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23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34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34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37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40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61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61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72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72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75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78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99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99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11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11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113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116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</commentList>
</comments>
</file>

<file path=xl/comments2.xml><?xml version="1.0" encoding="utf-8"?>
<comments xmlns="http://schemas.openxmlformats.org/spreadsheetml/2006/main">
  <authors>
    <author>Pirkelbauer Sigrid ASTRA</author>
  </authors>
  <commentList>
    <comment ref="F23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23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34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34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37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40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61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61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72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72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75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78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99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99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11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11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113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116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</commentList>
</comments>
</file>

<file path=xl/comments3.xml><?xml version="1.0" encoding="utf-8"?>
<comments xmlns="http://schemas.openxmlformats.org/spreadsheetml/2006/main">
  <authors>
    <author>Pirkelbauer Sigrid ASTRA</author>
  </authors>
  <commentList>
    <comment ref="F23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23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34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34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37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40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61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61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72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72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75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78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99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99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11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11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113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116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</commentList>
</comments>
</file>

<file path=xl/comments4.xml><?xml version="1.0" encoding="utf-8"?>
<comments xmlns="http://schemas.openxmlformats.org/spreadsheetml/2006/main">
  <authors>
    <author>Pirkelbauer Sigrid ASTRA</author>
  </authors>
  <commentList>
    <comment ref="F23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23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34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34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37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40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61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61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72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72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75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78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99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99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11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11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113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116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</commentList>
</comments>
</file>

<file path=xl/comments5.xml><?xml version="1.0" encoding="utf-8"?>
<comments xmlns="http://schemas.openxmlformats.org/spreadsheetml/2006/main">
  <authors>
    <author>Pirkelbauer Sigrid ASTRA</author>
  </authors>
  <commentList>
    <comment ref="F23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23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34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34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37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40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61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61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72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72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75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78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99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99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11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11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113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116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</commentList>
</comments>
</file>

<file path=xl/comments6.xml><?xml version="1.0" encoding="utf-8"?>
<comments xmlns="http://schemas.openxmlformats.org/spreadsheetml/2006/main">
  <authors>
    <author>Pirkelbauer Sigrid ASTRA</author>
  </authors>
  <commentList>
    <comment ref="F23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23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34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34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37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40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61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61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72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72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75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78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99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99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11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11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113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116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</commentList>
</comments>
</file>

<file path=xl/comments7.xml><?xml version="1.0" encoding="utf-8"?>
<comments xmlns="http://schemas.openxmlformats.org/spreadsheetml/2006/main">
  <authors>
    <author>Pirkelbauer Sigrid ASTRA</author>
  </authors>
  <commentList>
    <comment ref="F23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23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34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34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37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40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61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61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72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72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75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78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99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99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11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11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113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116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</commentList>
</comments>
</file>

<file path=xl/comments8.xml><?xml version="1.0" encoding="utf-8"?>
<comments xmlns="http://schemas.openxmlformats.org/spreadsheetml/2006/main">
  <authors>
    <author>Pirkelbauer Sigrid ASTRA</author>
  </authors>
  <commentList>
    <comment ref="F23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23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34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34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37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40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61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61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72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72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75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78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99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99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11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11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113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116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</commentList>
</comments>
</file>

<file path=xl/comments9.xml><?xml version="1.0" encoding="utf-8"?>
<comments xmlns="http://schemas.openxmlformats.org/spreadsheetml/2006/main">
  <authors>
    <author>Pirkelbauer Sigrid ASTRA</author>
  </authors>
  <commentList>
    <comment ref="F23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23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34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34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37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40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61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61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72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72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75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78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99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99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11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11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113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116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</commentList>
</comments>
</file>

<file path=xl/comments10.xml><?xml version="1.0" encoding="utf-8"?>
<comments xmlns="http://schemas.openxmlformats.org/spreadsheetml/2006/main">
  <authors>
    <author>Pirkelbauer Sigrid ASTRA</author>
  </authors>
  <commentList>
    <comment ref="F23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23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34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34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37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40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61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61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72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72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75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78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99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99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11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11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113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116" authorId="0" shapeId="0">
      <text>
        <r>
          <rPr>
            <b/>
            <sz val="9"/>
            <color indexed="81"/>
            <rFont val="Segoe UI"/>
            <family val="2"/>
          </rPr>
          <t>Auffahrt</t>
        </r>
      </text>
    </comment>
  </commentList>
</comments>
</file>

<file path=xl/sharedStrings.xml><?xml version="1.0" encoding="utf-8"?>
<sst xmlns="http://schemas.openxmlformats.org/spreadsheetml/2006/main" count="516" uniqueCount="60">
  <si>
    <t>Gesamtergebnis</t>
  </si>
  <si>
    <t>Fahrzeuge pro Tag
(beide Richtungen)</t>
  </si>
  <si>
    <t>LW</t>
  </si>
  <si>
    <t>Differenz Fahrzeuge
(beide Richtungen)</t>
  </si>
  <si>
    <t>Fahrzeuge pro Tag
(Richtung Freudenbergplatz)</t>
  </si>
  <si>
    <t>Differenz Fahrzeuge
(Richtung Freudenbergplatz)</t>
  </si>
  <si>
    <t>Fahrzeuge pro Tag
(Richtung Wankdorf)</t>
  </si>
  <si>
    <t>Differenz Fahrzeuge
(Richtung Wankdorf)</t>
  </si>
  <si>
    <t>Fahrzeuge pro Tag
(Richtung Bellinzona)</t>
  </si>
  <si>
    <t>Differenz Fahrzeuge
(Richtung Bellinzona)</t>
  </si>
  <si>
    <t>Fahrzeuge pro Tag
(Richtung Chur)</t>
  </si>
  <si>
    <t>Differenz Fahrzeuge
(Richtung Chur)</t>
  </si>
  <si>
    <t>Fahrzeuge pro Tag
(Richtung Augst)</t>
  </si>
  <si>
    <t>Differenz Fahrzeuge
(Richtung Augst)</t>
  </si>
  <si>
    <t>Fahrzeuge pro Tag
(Richtung Deutschland)</t>
  </si>
  <si>
    <t>Differenz Fahrzeuge
(Richtung Deutschland)</t>
  </si>
  <si>
    <t>Fahrzeuge pro Tag
(Richtung Italien)</t>
  </si>
  <si>
    <t>Differenz Fahrzeuge
(Richtung Italien)</t>
  </si>
  <si>
    <t>Fahrzeuge pro Tag
(Richtung Schweiz)</t>
  </si>
  <si>
    <t>Differenz Fahrzeuge
(Richtung Schweiz)</t>
  </si>
  <si>
    <t>Fahrzeuge pro Tag
(Richtung Gondo)</t>
  </si>
  <si>
    <t>Differenz Fahrzeuge
(Richtung Gondo)</t>
  </si>
  <si>
    <t>Fahrzeuge pro Tag
(Richtung Brig)</t>
  </si>
  <si>
    <t>Differenz Fahrzeuge
(Richtung Brig)</t>
  </si>
  <si>
    <t>Fahrzeuge pro Tag
(Richtung Wassen)</t>
  </si>
  <si>
    <t>Differenz Fahrzeuge
(Richtung Wassen)</t>
  </si>
  <si>
    <t>Fahrzeuge pro Tag
(Richtung Lausanne)</t>
  </si>
  <si>
    <t>Differenz Fahrzeuge
(Richtung Lausanne)</t>
  </si>
  <si>
    <t>Fahrzeuge pro Tag
(Richtung Geneve)</t>
  </si>
  <si>
    <t>Differenz Fahrzeuge
(Richtung Geneve)</t>
  </si>
  <si>
    <t>Fahrzeuge pro Tag
(Richtung Zürich)</t>
  </si>
  <si>
    <t>Differenz Fahrzeuge
(Richtung Zürich)</t>
  </si>
  <si>
    <t>Fahrzeuge pro Tag
(Richtung Bern)</t>
  </si>
  <si>
    <t>Differenz Fahrzeuge
(Richtung Bern)</t>
  </si>
  <si>
    <t>Fahrzeuge pro Tag
(Richtung Verzw. Zürich West)</t>
  </si>
  <si>
    <t>Differenz Fahrzeuge
(Richtung Verzw. Zürich West)</t>
  </si>
  <si>
    <t>Fahrzeuge pro Tag
(Richtung Birmensdorf)</t>
  </si>
  <si>
    <t>Differenz Fahrzeuge
(Richtung Birmensdorf)</t>
  </si>
  <si>
    <t>PW+ Busse/Car</t>
  </si>
  <si>
    <t>Fahrzeuge pro Tag
(Richtung YVERDON/VEVEY)</t>
  </si>
  <si>
    <t>Differenz Fahrzeuge
(Richtung YVERDON/VEVEY)</t>
  </si>
  <si>
    <t>Fahrzeuge pro Tag
(Richtung LAUSANNE/GENEVE)</t>
  </si>
  <si>
    <t>Differenz Fahrzeuge
(Richtung LAUSANNE/GENEVE)</t>
  </si>
  <si>
    <t>A3 Aeschertunnel (Westring Zürich) (ZST 565)</t>
  </si>
  <si>
    <t>Durchschnittlicher Tagesverkehr DTV (Anzahl Fahrzeuge pro Tag)</t>
  </si>
  <si>
    <t>Trafic journalier moyen TJM  (nombre de véhicules par jour)</t>
  </si>
  <si>
    <t>Traffico medio giornaliero TMG (numero di veicoli al giorno)</t>
  </si>
  <si>
    <t>PW = Personenwagen, voitures de tourisme, autoveicoli</t>
  </si>
  <si>
    <t>LW = Lastwagen, poids lourds, camion</t>
  </si>
  <si>
    <t>A1 Würenlos (ZST 274)</t>
  </si>
  <si>
    <t>A1 Coppet (ZST 249)</t>
  </si>
  <si>
    <t>A2 Gotthard-Tunnel (ZST 150)</t>
  </si>
  <si>
    <t>A9 Simplon Josefgalerie (ZST 110)</t>
  </si>
  <si>
    <t>A2 Chiasso-Brogeda TI (ZST 077)</t>
  </si>
  <si>
    <t>A2 Basel Schwarzwaldbrücke (ZST 070)</t>
  </si>
  <si>
    <t>A13 San Bernardino-Tunnel (ZST 044)</t>
  </si>
  <si>
    <t>A6 Bern Ostring (ZST 042)</t>
  </si>
  <si>
    <t>A1 Renens (ZST 291)</t>
  </si>
  <si>
    <t>keine Daten verfügbar</t>
  </si>
  <si>
    <t xml:space="preserve"> keine Daten für Juni 2019 verfügbar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</si>
</sst>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12"/>
      <name val="Arial"/>
      <family val="2"/>
    </font>
    <font>
      <b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/>
    <xf numFmtId="0" fontId="2" fillId="2" borderId="1" xfId="0" applyFont="1" applyFill="1" applyBorder="1"/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wrapText="1"/>
    </xf>
    <xf numFmtId="9" fontId="0" fillId="0" borderId="0" xfId="2" applyFont="1"/>
    <xf numFmtId="0" fontId="2" fillId="0" borderId="0" xfId="0" applyFont="1"/>
    <xf numFmtId="0" fontId="3" fillId="0" borderId="0" xfId="0" applyFont="1"/>
    <xf numFmtId="165" fontId="0" fillId="0" borderId="0" xfId="1" applyNumberFormat="1" applyFont="1"/>
    <xf numFmtId="9" fontId="2" fillId="0" borderId="0" xfId="2" applyFont="1"/>
    <xf numFmtId="0" fontId="2" fillId="0" borderId="0" xfId="0" applyNumberFormat="1" applyFont="1"/>
    <xf numFmtId="0" fontId="2" fillId="2" borderId="0" xfId="0" applyFont="1" applyFill="1" applyAlignment="1">
      <alignment horizontal="center" wrapText="1"/>
    </xf>
    <xf numFmtId="0" fontId="4" fillId="0" borderId="0" xfId="0" applyFont="1" applyAlignment="1">
      <alignment vertical="center"/>
    </xf>
    <xf numFmtId="0" fontId="0" fillId="0" borderId="0" xfId="0" applyAlignment="1"/>
    <xf numFmtId="0" fontId="5" fillId="0" borderId="0" xfId="0" applyFont="1"/>
    <xf numFmtId="0" fontId="2" fillId="2" borderId="0" xfId="0" applyFont="1" applyFill="1" applyAlignment="1">
      <alignment horizontal="center" wrapText="1"/>
    </xf>
    <xf numFmtId="165" fontId="2" fillId="0" borderId="0" xfId="1" applyNumberFormat="1" applyFont="1"/>
    <xf numFmtId="165" fontId="0" fillId="0" borderId="0" xfId="1" applyNumberFormat="1" applyFont="1" applyAlignment="1">
      <alignment vertical="center"/>
    </xf>
    <xf numFmtId="165" fontId="1" fillId="0" borderId="0" xfId="1" applyNumberFormat="1" applyFont="1"/>
    <xf numFmtId="9" fontId="1" fillId="0" borderId="0" xfId="2" applyFont="1"/>
    <xf numFmtId="0" fontId="4" fillId="0" borderId="0" xfId="0" applyFont="1" applyAlignment="1">
      <alignment vertical="center"/>
    </xf>
    <xf numFmtId="0" fontId="0" fillId="0" borderId="0" xfId="0" applyAlignment="1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165" fontId="0" fillId="0" borderId="0" xfId="1" applyNumberFormat="1" applyFont="1" applyAlignment="1">
      <alignment horizontal="center" vertical="center"/>
    </xf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1"/>
  <dimension ref="A1:R121"/>
  <sheetViews>
    <sheetView tabSelected="1" zoomScale="80" zoomScaleNormal="8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140625" customWidth="1"/>
    <col min="6" max="6" width="28.5703125" bestFit="1" customWidth="1"/>
    <col min="7" max="7" width="11.85546875" customWidth="1"/>
    <col min="8" max="8" width="7.42578125" bestFit="1" customWidth="1"/>
    <col min="9" max="9" width="15.85546875" bestFit="1" customWidth="1"/>
    <col min="10" max="10" width="0.85546875" customWidth="1"/>
    <col min="11" max="12" width="24.5703125" bestFit="1" customWidth="1"/>
    <col min="13" max="13" width="11.5703125" customWidth="1"/>
    <col min="14" max="14" width="7.42578125" bestFit="1" customWidth="1"/>
    <col min="15" max="15" width="15.85546875" bestFit="1" customWidth="1"/>
    <col min="16" max="16" width="11.5703125" customWidth="1"/>
    <col min="17" max="17" width="7.140625" bestFit="1" customWidth="1"/>
    <col min="18" max="18" width="15.85546875" style="10" bestFit="1" customWidth="1"/>
  </cols>
  <sheetData>
    <row r="1" spans="1:18" ht="15.75" x14ac:dyDescent="0.25">
      <c r="A1" s="11" t="s">
        <v>56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4" t="s">
        <v>47</v>
      </c>
      <c r="B6" s="25"/>
      <c r="C6" s="25"/>
      <c r="D6" s="25"/>
      <c r="E6" s="17"/>
      <c r="F6" s="17"/>
      <c r="G6" s="17"/>
    </row>
    <row r="7" spans="1:18" ht="15" x14ac:dyDescent="0.2">
      <c r="A7" s="24" t="s">
        <v>48</v>
      </c>
      <c r="B7" s="25"/>
      <c r="C7" s="25"/>
    </row>
    <row r="9" spans="1:18" ht="12.95" customHeight="1" x14ac:dyDescent="0.2">
      <c r="A9" s="26" t="s">
        <v>1</v>
      </c>
      <c r="B9" s="6"/>
      <c r="C9" s="6"/>
      <c r="D9" s="3"/>
      <c r="F9" s="26" t="s">
        <v>1</v>
      </c>
      <c r="G9" s="6"/>
      <c r="H9" s="6"/>
      <c r="I9" s="3"/>
      <c r="K9" s="26" t="s">
        <v>3</v>
      </c>
      <c r="L9" s="26"/>
      <c r="M9" s="6"/>
      <c r="N9" s="6"/>
      <c r="O9" s="3"/>
      <c r="P9" s="6"/>
      <c r="Q9" s="6"/>
      <c r="R9" s="3"/>
    </row>
    <row r="10" spans="1:18" ht="29.45" customHeight="1" x14ac:dyDescent="0.2">
      <c r="A10" s="27"/>
      <c r="B10" s="8" t="s">
        <v>38</v>
      </c>
      <c r="C10" s="4" t="s">
        <v>2</v>
      </c>
      <c r="D10" s="4" t="s">
        <v>0</v>
      </c>
      <c r="F10" s="27"/>
      <c r="G10" s="8" t="s">
        <v>38</v>
      </c>
      <c r="H10" s="4" t="s">
        <v>2</v>
      </c>
      <c r="I10" s="4" t="s">
        <v>0</v>
      </c>
      <c r="K10" s="27"/>
      <c r="L10" s="27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43586</v>
      </c>
      <c r="B11" s="12">
        <v>81991</v>
      </c>
      <c r="C11" s="12">
        <v>2540</v>
      </c>
      <c r="D11" s="12">
        <v>84531</v>
      </c>
      <c r="F11" s="5">
        <v>44317</v>
      </c>
      <c r="G11" s="12">
        <v>63262</v>
      </c>
      <c r="H11" s="12">
        <v>794</v>
      </c>
      <c r="I11" s="12">
        <v>64056</v>
      </c>
      <c r="K11" s="5">
        <v>43589</v>
      </c>
      <c r="L11" s="5">
        <v>44317</v>
      </c>
      <c r="M11" s="12">
        <v>-5376</v>
      </c>
      <c r="N11" s="12">
        <v>43</v>
      </c>
      <c r="O11" s="12">
        <v>-5333</v>
      </c>
      <c r="P11" s="9">
        <v>-7.8323960488359212E-2</v>
      </c>
      <c r="Q11" s="9">
        <v>5.725699067909451E-2</v>
      </c>
      <c r="R11" s="13">
        <v>-7.6856562279323803E-2</v>
      </c>
    </row>
    <row r="12" spans="1:18" x14ac:dyDescent="0.2">
      <c r="A12" s="5">
        <v>43587</v>
      </c>
      <c r="B12" s="12">
        <v>79945</v>
      </c>
      <c r="C12" s="12">
        <v>3465</v>
      </c>
      <c r="D12" s="12">
        <v>83410</v>
      </c>
      <c r="F12" s="5">
        <v>44318</v>
      </c>
      <c r="G12" s="12">
        <v>47176</v>
      </c>
      <c r="H12" s="12">
        <v>194</v>
      </c>
      <c r="I12" s="12">
        <v>47370</v>
      </c>
      <c r="K12" s="5">
        <v>43590</v>
      </c>
      <c r="L12" s="5">
        <v>44318</v>
      </c>
      <c r="M12" s="12">
        <v>-7979</v>
      </c>
      <c r="N12" s="12">
        <v>-86</v>
      </c>
      <c r="O12" s="12">
        <v>-8065</v>
      </c>
      <c r="P12" s="9">
        <v>-0.14466503490164084</v>
      </c>
      <c r="Q12" s="9">
        <v>-0.30714285714285716</v>
      </c>
      <c r="R12" s="13">
        <v>-0.1454857039776315</v>
      </c>
    </row>
    <row r="13" spans="1:18" x14ac:dyDescent="0.2">
      <c r="A13" s="5">
        <v>43588</v>
      </c>
      <c r="B13" s="12">
        <v>81704</v>
      </c>
      <c r="C13" s="12">
        <v>3405</v>
      </c>
      <c r="D13" s="12">
        <v>85109</v>
      </c>
      <c r="F13" s="5">
        <v>44319</v>
      </c>
      <c r="G13" s="12">
        <v>75559</v>
      </c>
      <c r="H13" s="12">
        <v>3856</v>
      </c>
      <c r="I13" s="12">
        <v>79415</v>
      </c>
      <c r="K13" s="5">
        <v>43591</v>
      </c>
      <c r="L13" s="5">
        <v>44319</v>
      </c>
      <c r="M13" s="12">
        <v>-557</v>
      </c>
      <c r="N13" s="12">
        <v>-179</v>
      </c>
      <c r="O13" s="12">
        <v>-736</v>
      </c>
      <c r="P13" s="9">
        <v>-7.3177781281202892E-3</v>
      </c>
      <c r="Q13" s="9">
        <v>-4.4361833952912044E-2</v>
      </c>
      <c r="R13" s="13">
        <v>-9.1826677146885638E-3</v>
      </c>
    </row>
    <row r="14" spans="1:18" x14ac:dyDescent="0.2">
      <c r="A14" s="5">
        <v>43589</v>
      </c>
      <c r="B14" s="12">
        <v>68638</v>
      </c>
      <c r="C14" s="12">
        <v>751</v>
      </c>
      <c r="D14" s="12">
        <v>69389</v>
      </c>
      <c r="F14" s="5">
        <v>44320</v>
      </c>
      <c r="G14" s="12">
        <v>75148</v>
      </c>
      <c r="H14" s="12">
        <v>3981</v>
      </c>
      <c r="I14" s="12">
        <v>79129</v>
      </c>
      <c r="K14" s="5">
        <v>43592</v>
      </c>
      <c r="L14" s="5">
        <v>44320</v>
      </c>
      <c r="M14" s="12">
        <v>-3067</v>
      </c>
      <c r="N14" s="12">
        <v>-79</v>
      </c>
      <c r="O14" s="12">
        <v>-3146</v>
      </c>
      <c r="P14" s="9">
        <v>-3.9212427283769058E-2</v>
      </c>
      <c r="Q14" s="9">
        <v>-1.9458128078817749E-2</v>
      </c>
      <c r="R14" s="13">
        <v>-3.8237617745366159E-2</v>
      </c>
    </row>
    <row r="15" spans="1:18" x14ac:dyDescent="0.2">
      <c r="A15" s="5">
        <v>43590</v>
      </c>
      <c r="B15" s="12">
        <v>55155</v>
      </c>
      <c r="C15" s="12">
        <v>280</v>
      </c>
      <c r="D15" s="12">
        <v>55435</v>
      </c>
      <c r="F15" s="5">
        <v>44321</v>
      </c>
      <c r="G15" s="12">
        <v>77693</v>
      </c>
      <c r="H15" s="12">
        <v>3924</v>
      </c>
      <c r="I15" s="12">
        <v>81617</v>
      </c>
      <c r="K15" s="5">
        <v>43593</v>
      </c>
      <c r="L15" s="5">
        <v>44321</v>
      </c>
      <c r="M15" s="12">
        <v>125</v>
      </c>
      <c r="N15" s="12">
        <v>373</v>
      </c>
      <c r="O15" s="12">
        <v>498</v>
      </c>
      <c r="P15" s="9">
        <v>1.6114892739274023E-3</v>
      </c>
      <c r="Q15" s="9">
        <v>0.10504083356800908</v>
      </c>
      <c r="R15" s="13">
        <v>6.1391289340351207E-3</v>
      </c>
    </row>
    <row r="16" spans="1:18" x14ac:dyDescent="0.2">
      <c r="A16" s="5">
        <v>43591</v>
      </c>
      <c r="B16" s="12">
        <v>76116</v>
      </c>
      <c r="C16" s="12">
        <v>4035</v>
      </c>
      <c r="D16" s="12">
        <v>80151</v>
      </c>
      <c r="F16" s="5">
        <v>44322</v>
      </c>
      <c r="G16" s="12">
        <v>76125</v>
      </c>
      <c r="H16" s="12">
        <v>3893</v>
      </c>
      <c r="I16" s="12">
        <v>80018</v>
      </c>
      <c r="K16" s="5">
        <v>43594</v>
      </c>
      <c r="L16" s="5">
        <v>44322</v>
      </c>
      <c r="M16" s="12">
        <v>-3280</v>
      </c>
      <c r="N16" s="12">
        <v>269</v>
      </c>
      <c r="O16" s="12">
        <v>-3011</v>
      </c>
      <c r="P16" s="9">
        <v>-4.1307222467099058E-2</v>
      </c>
      <c r="Q16" s="9">
        <v>7.4227373068432634E-2</v>
      </c>
      <c r="R16" s="13">
        <v>-3.6264437726577503E-2</v>
      </c>
    </row>
    <row r="17" spans="1:18" x14ac:dyDescent="0.2">
      <c r="A17" s="5">
        <v>43592</v>
      </c>
      <c r="B17" s="12">
        <v>78215</v>
      </c>
      <c r="C17" s="12">
        <v>4060</v>
      </c>
      <c r="D17" s="12">
        <v>82275</v>
      </c>
      <c r="F17" s="5">
        <v>44323</v>
      </c>
      <c r="G17" s="12">
        <v>82744</v>
      </c>
      <c r="H17" s="12">
        <v>3643</v>
      </c>
      <c r="I17" s="12">
        <v>86387</v>
      </c>
      <c r="K17" s="5">
        <v>43595</v>
      </c>
      <c r="L17" s="5">
        <v>44323</v>
      </c>
      <c r="M17" s="12">
        <v>-693</v>
      </c>
      <c r="N17" s="12">
        <v>195</v>
      </c>
      <c r="O17" s="12">
        <v>-498</v>
      </c>
      <c r="P17" s="9">
        <v>-8.305667749319845E-3</v>
      </c>
      <c r="Q17" s="9">
        <v>5.6554524361948966E-2</v>
      </c>
      <c r="R17" s="13">
        <v>-5.7317143350406052E-3</v>
      </c>
    </row>
    <row r="18" spans="1:18" x14ac:dyDescent="0.2">
      <c r="A18" s="5">
        <v>43593</v>
      </c>
      <c r="B18" s="12">
        <v>77568</v>
      </c>
      <c r="C18" s="12">
        <v>3551</v>
      </c>
      <c r="D18" s="12">
        <v>81119</v>
      </c>
      <c r="F18" s="5">
        <v>44324</v>
      </c>
      <c r="G18" s="12">
        <v>71583</v>
      </c>
      <c r="H18" s="12">
        <v>850</v>
      </c>
      <c r="I18" s="12">
        <v>72433</v>
      </c>
      <c r="K18" s="5">
        <v>43596</v>
      </c>
      <c r="L18" s="5">
        <v>44324</v>
      </c>
      <c r="M18" s="12">
        <v>1138</v>
      </c>
      <c r="N18" s="12">
        <v>48</v>
      </c>
      <c r="O18" s="12">
        <v>1186</v>
      </c>
      <c r="P18" s="9">
        <v>1.6154446731492689E-2</v>
      </c>
      <c r="Q18" s="9">
        <v>5.9850374064837952E-2</v>
      </c>
      <c r="R18" s="13">
        <v>1.6646314932558637E-2</v>
      </c>
    </row>
    <row r="19" spans="1:18" x14ac:dyDescent="0.2">
      <c r="A19" s="5">
        <v>43594</v>
      </c>
      <c r="B19" s="12">
        <v>79405</v>
      </c>
      <c r="C19" s="12">
        <v>3624</v>
      </c>
      <c r="D19" s="12">
        <v>83029</v>
      </c>
      <c r="F19" s="5">
        <v>44325</v>
      </c>
      <c r="G19" s="12">
        <v>69535</v>
      </c>
      <c r="H19" s="12">
        <v>249</v>
      </c>
      <c r="I19" s="12">
        <v>69784</v>
      </c>
      <c r="K19" s="5">
        <v>43597</v>
      </c>
      <c r="L19" s="5">
        <v>44325</v>
      </c>
      <c r="M19" s="12">
        <v>9209</v>
      </c>
      <c r="N19" s="12">
        <v>-6</v>
      </c>
      <c r="O19" s="12">
        <v>9203</v>
      </c>
      <c r="P19" s="9">
        <v>0.15265391373537107</v>
      </c>
      <c r="Q19" s="9">
        <v>-2.352941176470591E-2</v>
      </c>
      <c r="R19" s="13">
        <v>0.15191231574255948</v>
      </c>
    </row>
    <row r="20" spans="1:18" x14ac:dyDescent="0.2">
      <c r="A20" s="5">
        <v>43595</v>
      </c>
      <c r="B20" s="12">
        <v>83437</v>
      </c>
      <c r="C20" s="12">
        <v>3448</v>
      </c>
      <c r="D20" s="12">
        <v>86885</v>
      </c>
      <c r="F20" s="5">
        <v>44326</v>
      </c>
      <c r="G20" s="12">
        <v>74972</v>
      </c>
      <c r="H20" s="12">
        <v>3860</v>
      </c>
      <c r="I20" s="12">
        <v>78832</v>
      </c>
      <c r="K20" s="5">
        <v>43598</v>
      </c>
      <c r="L20" s="5">
        <v>44326</v>
      </c>
      <c r="M20" s="12">
        <v>-170</v>
      </c>
      <c r="N20" s="12">
        <v>184</v>
      </c>
      <c r="O20" s="12">
        <v>14</v>
      </c>
      <c r="P20" s="9">
        <v>-2.2623832211013939E-3</v>
      </c>
      <c r="Q20" s="9">
        <v>5.0054406964091358E-2</v>
      </c>
      <c r="R20" s="13">
        <v>1.7762440051760642E-4</v>
      </c>
    </row>
    <row r="21" spans="1:18" x14ac:dyDescent="0.2">
      <c r="A21" s="5">
        <v>43596</v>
      </c>
      <c r="B21" s="12">
        <v>70445</v>
      </c>
      <c r="C21" s="12">
        <v>802</v>
      </c>
      <c r="D21" s="12">
        <v>71247</v>
      </c>
      <c r="F21" s="5">
        <v>44327</v>
      </c>
      <c r="G21" s="12">
        <v>75402</v>
      </c>
      <c r="H21" s="12">
        <v>4220</v>
      </c>
      <c r="I21" s="12">
        <v>79622</v>
      </c>
      <c r="K21" s="5">
        <v>43599</v>
      </c>
      <c r="L21" s="5">
        <v>44327</v>
      </c>
      <c r="M21" s="12">
        <v>-2392</v>
      </c>
      <c r="N21" s="12">
        <v>546</v>
      </c>
      <c r="O21" s="12">
        <v>-1846</v>
      </c>
      <c r="P21" s="9">
        <v>-3.0747872586574854E-2</v>
      </c>
      <c r="Q21" s="9">
        <v>0.1486118671747414</v>
      </c>
      <c r="R21" s="13">
        <v>-2.2659203613688783E-2</v>
      </c>
    </row>
    <row r="22" spans="1:18" x14ac:dyDescent="0.2">
      <c r="A22" s="5">
        <v>43597</v>
      </c>
      <c r="B22" s="12">
        <v>60326</v>
      </c>
      <c r="C22" s="12">
        <v>255</v>
      </c>
      <c r="D22" s="12">
        <v>60581</v>
      </c>
      <c r="F22" s="5">
        <v>44328</v>
      </c>
      <c r="G22" s="12">
        <v>83629</v>
      </c>
      <c r="H22" s="12">
        <v>4208</v>
      </c>
      <c r="I22" s="12">
        <v>87837</v>
      </c>
      <c r="K22" s="5">
        <v>43600</v>
      </c>
      <c r="L22" s="5">
        <v>44328</v>
      </c>
      <c r="M22" s="12">
        <v>2748</v>
      </c>
      <c r="N22" s="12">
        <v>470</v>
      </c>
      <c r="O22" s="12">
        <v>3218</v>
      </c>
      <c r="P22" s="9">
        <v>3.3975841050432054E-2</v>
      </c>
      <c r="Q22" s="9">
        <v>0.12573568753344033</v>
      </c>
      <c r="R22" s="13">
        <v>3.802928420331142E-2</v>
      </c>
    </row>
    <row r="23" spans="1:18" x14ac:dyDescent="0.2">
      <c r="A23" s="5">
        <v>43598</v>
      </c>
      <c r="B23" s="12">
        <v>75142</v>
      </c>
      <c r="C23" s="12">
        <v>3676</v>
      </c>
      <c r="D23" s="12">
        <v>78818</v>
      </c>
      <c r="F23" s="5">
        <v>44329</v>
      </c>
      <c r="G23" s="12">
        <v>53828</v>
      </c>
      <c r="H23" s="12">
        <v>314</v>
      </c>
      <c r="I23" s="12">
        <v>54142</v>
      </c>
      <c r="K23" s="5">
        <v>43601</v>
      </c>
      <c r="L23" s="5">
        <v>44329</v>
      </c>
      <c r="M23" s="12">
        <v>-27217</v>
      </c>
      <c r="N23" s="12">
        <v>-3402</v>
      </c>
      <c r="O23" s="12">
        <v>-30619</v>
      </c>
      <c r="P23" s="9">
        <v>-0.33582577580356587</v>
      </c>
      <c r="Q23" s="9">
        <v>-0.91550053821313238</v>
      </c>
      <c r="R23" s="13">
        <v>-0.36123924918299688</v>
      </c>
    </row>
    <row r="24" spans="1:18" x14ac:dyDescent="0.2">
      <c r="A24" s="5">
        <v>43599</v>
      </c>
      <c r="B24" s="12">
        <v>77794</v>
      </c>
      <c r="C24" s="12">
        <v>3674</v>
      </c>
      <c r="D24" s="12">
        <v>81468</v>
      </c>
      <c r="F24" s="5">
        <v>44330</v>
      </c>
      <c r="G24" s="12">
        <v>74579</v>
      </c>
      <c r="H24" s="12">
        <v>2330</v>
      </c>
      <c r="I24" s="12">
        <v>76909</v>
      </c>
      <c r="K24" s="5">
        <v>43602</v>
      </c>
      <c r="L24" s="5">
        <v>44330</v>
      </c>
      <c r="M24" s="12">
        <v>-8701</v>
      </c>
      <c r="N24" s="12">
        <v>-1388</v>
      </c>
      <c r="O24" s="12">
        <v>-10089</v>
      </c>
      <c r="P24" s="9">
        <v>-0.10447886647454374</v>
      </c>
      <c r="Q24" s="9">
        <v>-0.37331898870360414</v>
      </c>
      <c r="R24" s="13">
        <v>-0.11596818317662472</v>
      </c>
    </row>
    <row r="25" spans="1:18" x14ac:dyDescent="0.2">
      <c r="A25" s="5">
        <v>43600</v>
      </c>
      <c r="B25" s="12">
        <v>80881</v>
      </c>
      <c r="C25" s="12">
        <v>3738</v>
      </c>
      <c r="D25" s="12">
        <v>84619</v>
      </c>
      <c r="F25" s="5">
        <v>44331</v>
      </c>
      <c r="G25" s="12">
        <v>61787</v>
      </c>
      <c r="H25" s="12">
        <v>842</v>
      </c>
      <c r="I25" s="12">
        <v>62629</v>
      </c>
      <c r="K25" s="5">
        <v>43603</v>
      </c>
      <c r="L25" s="5">
        <v>44331</v>
      </c>
      <c r="M25" s="12">
        <v>-6599</v>
      </c>
      <c r="N25" s="12">
        <v>55</v>
      </c>
      <c r="O25" s="12">
        <v>-6544</v>
      </c>
      <c r="P25" s="9">
        <v>-9.6496358903869206E-2</v>
      </c>
      <c r="Q25" s="9">
        <v>6.9885641677255306E-2</v>
      </c>
      <c r="R25" s="13">
        <v>-9.4603385714079224E-2</v>
      </c>
    </row>
    <row r="26" spans="1:18" x14ac:dyDescent="0.2">
      <c r="A26" s="5">
        <v>43601</v>
      </c>
      <c r="B26" s="12">
        <v>81045</v>
      </c>
      <c r="C26" s="12">
        <v>3716</v>
      </c>
      <c r="D26" s="12">
        <v>84761</v>
      </c>
      <c r="F26" s="5">
        <v>44332</v>
      </c>
      <c r="G26" s="12">
        <v>50748</v>
      </c>
      <c r="H26" s="12">
        <v>342</v>
      </c>
      <c r="I26" s="12">
        <v>51090</v>
      </c>
      <c r="K26" s="5">
        <v>43604</v>
      </c>
      <c r="L26" s="5">
        <v>44332</v>
      </c>
      <c r="M26" s="12">
        <v>-5333</v>
      </c>
      <c r="N26" s="12">
        <v>102</v>
      </c>
      <c r="O26" s="12">
        <v>-5231</v>
      </c>
      <c r="P26" s="9">
        <v>-9.5094595317487207E-2</v>
      </c>
      <c r="Q26" s="9">
        <v>0.42500000000000004</v>
      </c>
      <c r="R26" s="13">
        <v>-9.2878322472967456E-2</v>
      </c>
    </row>
    <row r="27" spans="1:18" x14ac:dyDescent="0.2">
      <c r="A27" s="5">
        <v>43602</v>
      </c>
      <c r="B27" s="12">
        <v>83280</v>
      </c>
      <c r="C27" s="12">
        <v>3718</v>
      </c>
      <c r="D27" s="12">
        <v>86998</v>
      </c>
      <c r="F27" s="5">
        <v>44333</v>
      </c>
      <c r="G27" s="12">
        <v>73284</v>
      </c>
      <c r="H27" s="12">
        <v>3721</v>
      </c>
      <c r="I27" s="12">
        <v>77005</v>
      </c>
      <c r="K27" s="5">
        <v>43605</v>
      </c>
      <c r="L27" s="5">
        <v>44333</v>
      </c>
      <c r="M27" s="12">
        <v>-675</v>
      </c>
      <c r="N27" s="12">
        <v>159</v>
      </c>
      <c r="O27" s="12">
        <v>-516</v>
      </c>
      <c r="P27" s="9">
        <v>-9.1266782947309055E-3</v>
      </c>
      <c r="Q27" s="9">
        <v>4.4637843907916919E-2</v>
      </c>
      <c r="R27" s="13">
        <v>-6.6562608841475024E-3</v>
      </c>
    </row>
    <row r="28" spans="1:18" x14ac:dyDescent="0.2">
      <c r="A28" s="5">
        <v>43603</v>
      </c>
      <c r="B28" s="12">
        <v>68386</v>
      </c>
      <c r="C28" s="12">
        <v>787</v>
      </c>
      <c r="D28" s="12">
        <v>69173</v>
      </c>
      <c r="F28" s="5">
        <v>44334</v>
      </c>
      <c r="G28" s="12">
        <v>77170</v>
      </c>
      <c r="H28" s="12">
        <v>4002</v>
      </c>
      <c r="I28" s="12">
        <v>81172</v>
      </c>
      <c r="K28" s="5">
        <v>43606</v>
      </c>
      <c r="L28" s="5">
        <v>44334</v>
      </c>
      <c r="M28" s="12">
        <v>-131</v>
      </c>
      <c r="N28" s="12">
        <v>292</v>
      </c>
      <c r="O28" s="12">
        <v>161</v>
      </c>
      <c r="P28" s="9">
        <v>-1.6946740663121851E-3</v>
      </c>
      <c r="Q28" s="9">
        <v>7.8706199460916393E-2</v>
      </c>
      <c r="R28" s="13">
        <v>1.9873844292750409E-3</v>
      </c>
    </row>
    <row r="29" spans="1:18" x14ac:dyDescent="0.2">
      <c r="A29" s="5">
        <v>43604</v>
      </c>
      <c r="B29" s="12">
        <v>56081</v>
      </c>
      <c r="C29" s="12">
        <v>240</v>
      </c>
      <c r="D29" s="12">
        <v>56321</v>
      </c>
      <c r="F29" s="5">
        <v>44335</v>
      </c>
      <c r="G29" s="12">
        <v>76043</v>
      </c>
      <c r="H29" s="12">
        <v>3445</v>
      </c>
      <c r="I29" s="12">
        <v>79488</v>
      </c>
      <c r="K29" s="5">
        <v>43607</v>
      </c>
      <c r="L29" s="5">
        <v>44335</v>
      </c>
      <c r="M29" s="12">
        <v>-4513</v>
      </c>
      <c r="N29" s="12">
        <v>-262</v>
      </c>
      <c r="O29" s="12">
        <v>-4775</v>
      </c>
      <c r="P29" s="9">
        <v>-5.6023139182680426E-2</v>
      </c>
      <c r="Q29" s="9">
        <v>-7.0677097383328835E-2</v>
      </c>
      <c r="R29" s="13">
        <v>-5.6667813868483186E-2</v>
      </c>
    </row>
    <row r="30" spans="1:18" x14ac:dyDescent="0.2">
      <c r="A30" s="5">
        <v>43605</v>
      </c>
      <c r="B30" s="12">
        <v>73959</v>
      </c>
      <c r="C30" s="12">
        <v>3562</v>
      </c>
      <c r="D30" s="12">
        <v>77521</v>
      </c>
      <c r="F30" s="5">
        <v>44336</v>
      </c>
      <c r="G30" s="12">
        <v>78841</v>
      </c>
      <c r="H30" s="12">
        <v>3936</v>
      </c>
      <c r="I30" s="12">
        <v>82777</v>
      </c>
      <c r="K30" s="5">
        <v>43608</v>
      </c>
      <c r="L30" s="5">
        <v>44336</v>
      </c>
      <c r="M30" s="12">
        <v>-2492</v>
      </c>
      <c r="N30" s="12">
        <v>231</v>
      </c>
      <c r="O30" s="12">
        <v>-2261</v>
      </c>
      <c r="P30" s="9">
        <v>-3.0639469833892763E-2</v>
      </c>
      <c r="Q30" s="9">
        <v>6.2348178137651811E-2</v>
      </c>
      <c r="R30" s="13">
        <v>-2.6588113549236847E-2</v>
      </c>
    </row>
    <row r="31" spans="1:18" x14ac:dyDescent="0.2">
      <c r="A31" s="5">
        <v>43606</v>
      </c>
      <c r="B31" s="12">
        <v>77301</v>
      </c>
      <c r="C31" s="12">
        <v>3710</v>
      </c>
      <c r="D31" s="12">
        <v>81011</v>
      </c>
      <c r="F31" s="5">
        <v>44337</v>
      </c>
      <c r="G31" s="12">
        <v>82226</v>
      </c>
      <c r="H31" s="12">
        <v>3601</v>
      </c>
      <c r="I31" s="12">
        <v>85827</v>
      </c>
      <c r="K31" s="5">
        <v>43609</v>
      </c>
      <c r="L31" s="5">
        <v>44337</v>
      </c>
      <c r="M31" s="12">
        <v>-1843</v>
      </c>
      <c r="N31" s="12">
        <v>-30</v>
      </c>
      <c r="O31" s="12">
        <v>-1873</v>
      </c>
      <c r="P31" s="9">
        <v>-2.1922468448536292E-2</v>
      </c>
      <c r="Q31" s="9">
        <v>-8.2621867254200065E-3</v>
      </c>
      <c r="R31" s="13">
        <v>-2.1356898517673861E-2</v>
      </c>
    </row>
    <row r="32" spans="1:18" x14ac:dyDescent="0.2">
      <c r="A32" s="5">
        <v>43607</v>
      </c>
      <c r="B32" s="12">
        <v>80556</v>
      </c>
      <c r="C32" s="12">
        <v>3707</v>
      </c>
      <c r="D32" s="12">
        <v>84263</v>
      </c>
      <c r="F32" s="5">
        <v>44338</v>
      </c>
      <c r="G32" s="12">
        <v>68040</v>
      </c>
      <c r="H32" s="12">
        <v>946</v>
      </c>
      <c r="I32" s="12">
        <v>68986</v>
      </c>
      <c r="K32" s="5">
        <v>43610</v>
      </c>
      <c r="L32" s="5">
        <v>44338</v>
      </c>
      <c r="M32" s="12">
        <v>-659</v>
      </c>
      <c r="N32" s="12">
        <v>33</v>
      </c>
      <c r="O32" s="12">
        <v>-626</v>
      </c>
      <c r="P32" s="9">
        <v>-9.5925704886533625E-3</v>
      </c>
      <c r="Q32" s="9">
        <v>3.6144578313253017E-2</v>
      </c>
      <c r="R32" s="13">
        <v>-8.9927024076308371E-3</v>
      </c>
    </row>
    <row r="33" spans="1:18" x14ac:dyDescent="0.2">
      <c r="A33" s="5">
        <v>43608</v>
      </c>
      <c r="B33" s="12">
        <v>81333</v>
      </c>
      <c r="C33" s="12">
        <v>3705</v>
      </c>
      <c r="D33" s="12">
        <v>85038</v>
      </c>
      <c r="F33" s="5">
        <v>44339</v>
      </c>
      <c r="G33" s="12">
        <v>59652</v>
      </c>
      <c r="H33" s="12">
        <v>178</v>
      </c>
      <c r="I33" s="12">
        <v>59830</v>
      </c>
      <c r="K33" s="5">
        <v>43611</v>
      </c>
      <c r="L33" s="5">
        <v>44339</v>
      </c>
      <c r="M33" s="12">
        <v>-1065</v>
      </c>
      <c r="N33" s="12">
        <v>-197</v>
      </c>
      <c r="O33" s="12">
        <v>-1262</v>
      </c>
      <c r="P33" s="9">
        <v>-1.7540392311873099E-2</v>
      </c>
      <c r="Q33" s="9">
        <v>-0.52533333333333332</v>
      </c>
      <c r="R33" s="13">
        <v>-2.0657369213645027E-2</v>
      </c>
    </row>
    <row r="34" spans="1:18" x14ac:dyDescent="0.2">
      <c r="A34" s="5">
        <v>43609</v>
      </c>
      <c r="B34" s="12">
        <v>84069</v>
      </c>
      <c r="C34" s="12">
        <v>3631</v>
      </c>
      <c r="D34" s="12">
        <v>87700</v>
      </c>
      <c r="F34" s="5">
        <v>44340</v>
      </c>
      <c r="G34" s="12">
        <v>53988</v>
      </c>
      <c r="H34" s="12">
        <v>420</v>
      </c>
      <c r="I34" s="12">
        <v>54408</v>
      </c>
      <c r="K34" s="5">
        <v>43612</v>
      </c>
      <c r="L34" s="5">
        <v>44340</v>
      </c>
      <c r="M34" s="12">
        <v>-22498</v>
      </c>
      <c r="N34" s="12">
        <v>-3272</v>
      </c>
      <c r="O34" s="12">
        <v>-25770</v>
      </c>
      <c r="P34" s="9">
        <v>-0.29414533378657537</v>
      </c>
      <c r="Q34" s="9">
        <v>-0.88624052004333698</v>
      </c>
      <c r="R34" s="13">
        <v>-0.32140986305470332</v>
      </c>
    </row>
    <row r="35" spans="1:18" x14ac:dyDescent="0.2">
      <c r="A35" s="5">
        <v>43610</v>
      </c>
      <c r="B35" s="12">
        <v>68699</v>
      </c>
      <c r="C35" s="12">
        <v>913</v>
      </c>
      <c r="D35" s="12">
        <v>69612</v>
      </c>
      <c r="F35" s="5">
        <v>44341</v>
      </c>
      <c r="G35" s="12">
        <v>77565</v>
      </c>
      <c r="H35" s="12">
        <v>3843</v>
      </c>
      <c r="I35" s="12">
        <v>81408</v>
      </c>
      <c r="K35" s="5">
        <v>43613</v>
      </c>
      <c r="L35" s="5">
        <v>44341</v>
      </c>
      <c r="M35" s="12">
        <v>-326</v>
      </c>
      <c r="N35" s="12">
        <v>-12</v>
      </c>
      <c r="O35" s="12">
        <v>-338</v>
      </c>
      <c r="P35" s="9">
        <v>-4.1853359181419636E-3</v>
      </c>
      <c r="Q35" s="9">
        <v>-3.112840466926059E-3</v>
      </c>
      <c r="R35" s="13">
        <v>-4.1347588872849839E-3</v>
      </c>
    </row>
    <row r="36" spans="1:18" x14ac:dyDescent="0.2">
      <c r="A36" s="5">
        <v>43611</v>
      </c>
      <c r="B36" s="12">
        <v>60717</v>
      </c>
      <c r="C36" s="12">
        <v>375</v>
      </c>
      <c r="D36" s="12">
        <v>61092</v>
      </c>
      <c r="F36" s="5">
        <v>44342</v>
      </c>
      <c r="G36" s="12">
        <v>78570</v>
      </c>
      <c r="H36" s="12">
        <v>3965</v>
      </c>
      <c r="I36" s="12">
        <v>82535</v>
      </c>
      <c r="K36" s="5">
        <v>43614</v>
      </c>
      <c r="L36" s="5">
        <v>44342</v>
      </c>
      <c r="M36" s="12">
        <v>-5348</v>
      </c>
      <c r="N36" s="12">
        <v>60</v>
      </c>
      <c r="O36" s="12">
        <v>-5288</v>
      </c>
      <c r="P36" s="9">
        <v>-6.372887819061468E-2</v>
      </c>
      <c r="Q36" s="9">
        <v>1.5364916773367376E-2</v>
      </c>
      <c r="R36" s="13">
        <v>-6.0212017353085234E-2</v>
      </c>
    </row>
    <row r="37" spans="1:18" x14ac:dyDescent="0.2">
      <c r="A37" s="5">
        <v>43612</v>
      </c>
      <c r="B37" s="12">
        <v>76486</v>
      </c>
      <c r="C37" s="12">
        <v>3692</v>
      </c>
      <c r="D37" s="12">
        <v>80178</v>
      </c>
      <c r="F37" s="5">
        <v>44343</v>
      </c>
      <c r="G37" s="12">
        <v>79093</v>
      </c>
      <c r="H37" s="12">
        <v>4094</v>
      </c>
      <c r="I37" s="12">
        <v>83187</v>
      </c>
      <c r="K37" s="5">
        <v>43615</v>
      </c>
      <c r="L37" s="5">
        <v>44343</v>
      </c>
      <c r="M37" s="12">
        <v>17169</v>
      </c>
      <c r="N37" s="12">
        <v>3762</v>
      </c>
      <c r="O37" s="12">
        <v>20931</v>
      </c>
      <c r="P37" s="9">
        <v>0.27725922098055689</v>
      </c>
      <c r="Q37" s="9">
        <v>11.331325301204819</v>
      </c>
      <c r="R37" s="13">
        <v>0.33620855821125684</v>
      </c>
    </row>
    <row r="38" spans="1:18" x14ac:dyDescent="0.2">
      <c r="A38" s="5">
        <v>43613</v>
      </c>
      <c r="B38" s="12">
        <v>77891</v>
      </c>
      <c r="C38" s="12">
        <v>3855</v>
      </c>
      <c r="D38" s="12">
        <v>81746</v>
      </c>
      <c r="F38" s="5">
        <v>44344</v>
      </c>
      <c r="G38" s="12">
        <v>86347</v>
      </c>
      <c r="H38" s="12">
        <v>3718</v>
      </c>
      <c r="I38" s="12">
        <v>90065</v>
      </c>
      <c r="K38" s="5">
        <v>43616</v>
      </c>
      <c r="L38" s="5">
        <v>44344</v>
      </c>
      <c r="M38" s="12">
        <v>12353</v>
      </c>
      <c r="N38" s="12">
        <v>1441</v>
      </c>
      <c r="O38" s="12">
        <v>13794</v>
      </c>
      <c r="P38" s="9">
        <v>0.16694596859204802</v>
      </c>
      <c r="Q38" s="9">
        <v>0.63285024154589364</v>
      </c>
      <c r="R38" s="13">
        <v>0.18085510875693256</v>
      </c>
    </row>
    <row r="39" spans="1:18" x14ac:dyDescent="0.2">
      <c r="A39" s="5">
        <v>43614</v>
      </c>
      <c r="B39" s="12">
        <v>83918</v>
      </c>
      <c r="C39" s="12">
        <v>3905</v>
      </c>
      <c r="D39" s="12">
        <v>87823</v>
      </c>
      <c r="F39" s="5">
        <v>44345</v>
      </c>
      <c r="G39" s="12">
        <v>69856</v>
      </c>
      <c r="H39" s="12">
        <v>864</v>
      </c>
      <c r="I39" s="12">
        <v>70720</v>
      </c>
      <c r="K39" s="5">
        <v>43617</v>
      </c>
      <c r="L39" s="5">
        <v>44345</v>
      </c>
      <c r="M39" s="12">
        <v>2081</v>
      </c>
      <c r="N39" s="12">
        <v>42</v>
      </c>
      <c r="O39" s="12">
        <v>2123</v>
      </c>
      <c r="P39" s="9">
        <v>3.0704537071191362E-2</v>
      </c>
      <c r="Q39" s="9">
        <v>5.1094890510948954E-2</v>
      </c>
      <c r="R39" s="13">
        <v>3.0948875315246926E-2</v>
      </c>
    </row>
    <row r="40" spans="1:18" x14ac:dyDescent="0.2">
      <c r="A40" s="5">
        <v>43615</v>
      </c>
      <c r="B40" s="12">
        <v>61924</v>
      </c>
      <c r="C40" s="12">
        <v>332</v>
      </c>
      <c r="D40" s="12">
        <v>62256</v>
      </c>
      <c r="F40" s="5">
        <v>44346</v>
      </c>
      <c r="G40" s="12">
        <v>65307</v>
      </c>
      <c r="H40" s="12">
        <v>269</v>
      </c>
      <c r="I40" s="12">
        <v>65576</v>
      </c>
      <c r="K40" s="5">
        <v>43618</v>
      </c>
      <c r="L40" s="5">
        <v>44346</v>
      </c>
      <c r="M40" s="12">
        <v>1481</v>
      </c>
      <c r="N40" s="12">
        <v>-154</v>
      </c>
      <c r="O40" s="12">
        <v>1327</v>
      </c>
      <c r="P40" s="9">
        <v>2.3203710086798557E-2</v>
      </c>
      <c r="Q40" s="9">
        <v>-0.36406619385342787</v>
      </c>
      <c r="R40" s="13">
        <v>2.0654017961369009E-2</v>
      </c>
    </row>
    <row r="41" spans="1:18" x14ac:dyDescent="0.2">
      <c r="A41" s="5">
        <v>43616</v>
      </c>
      <c r="B41" s="12">
        <v>73994</v>
      </c>
      <c r="C41" s="12">
        <v>2277</v>
      </c>
      <c r="D41" s="12">
        <v>76271</v>
      </c>
      <c r="F41" s="5">
        <v>44347</v>
      </c>
      <c r="G41" s="12">
        <v>76451</v>
      </c>
      <c r="H41" s="12">
        <v>3592</v>
      </c>
      <c r="I41" s="12">
        <v>80043</v>
      </c>
      <c r="K41" s="5">
        <v>43619</v>
      </c>
      <c r="L41" s="5">
        <v>44347</v>
      </c>
      <c r="M41" s="12">
        <f t="shared" ref="M41:O41" si="0">G41-B44</f>
        <v>2005</v>
      </c>
      <c r="N41" s="12">
        <f t="shared" si="0"/>
        <v>-77</v>
      </c>
      <c r="O41" s="12">
        <f t="shared" si="0"/>
        <v>1928</v>
      </c>
      <c r="P41" s="9">
        <f t="shared" ref="P41:R41" si="1">G41/B44-1</f>
        <v>2.6932273056980982E-2</v>
      </c>
      <c r="Q41" s="9">
        <f t="shared" si="1"/>
        <v>-2.0986644862360349E-2</v>
      </c>
      <c r="R41" s="13">
        <f t="shared" si="1"/>
        <v>2.4681559239582596E-2</v>
      </c>
    </row>
    <row r="42" spans="1:18" x14ac:dyDescent="0.2">
      <c r="A42" s="5">
        <v>43617</v>
      </c>
      <c r="B42" s="12">
        <v>67775</v>
      </c>
      <c r="C42" s="12">
        <v>822</v>
      </c>
      <c r="D42" s="12">
        <v>68597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">
      <c r="A43" s="5">
        <v>43618</v>
      </c>
      <c r="B43" s="12">
        <v>63826</v>
      </c>
      <c r="C43" s="12">
        <v>423</v>
      </c>
      <c r="D43" s="12">
        <v>64249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5">
        <v>43619</v>
      </c>
      <c r="B44" s="12">
        <v>74446</v>
      </c>
      <c r="C44" s="12">
        <v>3669</v>
      </c>
      <c r="D44" s="12">
        <v>78115</v>
      </c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">
      <c r="A45" s="5"/>
      <c r="F45" s="5"/>
      <c r="G45" s="12"/>
      <c r="H45" s="12"/>
      <c r="I45" s="12"/>
      <c r="K45" s="5"/>
      <c r="L45" s="5"/>
      <c r="M45" s="12"/>
      <c r="N45" s="12"/>
      <c r="O45" s="12"/>
      <c r="P45" s="9"/>
      <c r="Q45" s="9"/>
      <c r="R45" s="13"/>
    </row>
    <row r="46" spans="1:18" x14ac:dyDescent="0.2">
      <c r="A46" s="1"/>
      <c r="B46" s="2"/>
      <c r="C46" s="2"/>
      <c r="D46" s="2"/>
      <c r="F46" s="1"/>
      <c r="G46" s="2"/>
      <c r="H46" s="2"/>
      <c r="I46" s="2"/>
    </row>
    <row r="47" spans="1:18" ht="12.95" customHeight="1" x14ac:dyDescent="0.2">
      <c r="A47" s="26" t="s">
        <v>4</v>
      </c>
      <c r="B47" s="6"/>
      <c r="C47" s="6"/>
      <c r="D47" s="3"/>
      <c r="F47" s="26" t="s">
        <v>4</v>
      </c>
      <c r="G47" s="6"/>
      <c r="H47" s="6"/>
      <c r="I47" s="3"/>
      <c r="K47" s="26" t="s">
        <v>5</v>
      </c>
      <c r="L47" s="26"/>
      <c r="M47" s="6"/>
      <c r="N47" s="6"/>
      <c r="O47" s="3"/>
      <c r="P47" s="6"/>
      <c r="Q47" s="6"/>
      <c r="R47" s="3"/>
    </row>
    <row r="48" spans="1:18" ht="26.45" customHeight="1" x14ac:dyDescent="0.2">
      <c r="A48" s="27"/>
      <c r="B48" s="8" t="s">
        <v>38</v>
      </c>
      <c r="C48" s="4" t="s">
        <v>2</v>
      </c>
      <c r="D48" s="4" t="s">
        <v>0</v>
      </c>
      <c r="F48" s="27"/>
      <c r="G48" s="8" t="s">
        <v>38</v>
      </c>
      <c r="H48" s="4" t="s">
        <v>2</v>
      </c>
      <c r="I48" s="4" t="s">
        <v>0</v>
      </c>
      <c r="K48" s="27"/>
      <c r="L48" s="27"/>
      <c r="M48" s="8" t="s">
        <v>38</v>
      </c>
      <c r="N48" s="4" t="s">
        <v>2</v>
      </c>
      <c r="O48" s="4" t="s">
        <v>0</v>
      </c>
      <c r="P48" s="8" t="s">
        <v>38</v>
      </c>
      <c r="Q48" s="4" t="s">
        <v>2</v>
      </c>
      <c r="R48" s="4" t="s">
        <v>0</v>
      </c>
    </row>
    <row r="49" spans="1:18" x14ac:dyDescent="0.2">
      <c r="A49" s="5">
        <v>43586</v>
      </c>
      <c r="B49" s="12">
        <v>40533</v>
      </c>
      <c r="C49" s="12">
        <v>1230</v>
      </c>
      <c r="D49" s="12">
        <v>41763</v>
      </c>
      <c r="F49" s="5">
        <v>44317</v>
      </c>
      <c r="G49" s="12">
        <v>31823</v>
      </c>
      <c r="H49" s="12">
        <v>384</v>
      </c>
      <c r="I49" s="12">
        <v>32207</v>
      </c>
      <c r="K49" s="5">
        <v>43589</v>
      </c>
      <c r="L49" s="5">
        <v>44317</v>
      </c>
      <c r="M49" s="12">
        <v>-2298</v>
      </c>
      <c r="N49" s="12">
        <v>21</v>
      </c>
      <c r="O49" s="12">
        <v>-2277</v>
      </c>
      <c r="P49" s="9">
        <v>-6.7348553676621403E-2</v>
      </c>
      <c r="Q49" s="9">
        <v>5.7851239669421517E-2</v>
      </c>
      <c r="R49" s="13">
        <v>-6.6030622897575664E-2</v>
      </c>
    </row>
    <row r="50" spans="1:18" x14ac:dyDescent="0.2">
      <c r="A50" s="5">
        <v>43587</v>
      </c>
      <c r="B50" s="12">
        <v>39321</v>
      </c>
      <c r="C50" s="12">
        <v>1719</v>
      </c>
      <c r="D50" s="12">
        <v>41040</v>
      </c>
      <c r="F50" s="5">
        <v>44318</v>
      </c>
      <c r="G50" s="12">
        <v>22801</v>
      </c>
      <c r="H50" s="12">
        <v>92</v>
      </c>
      <c r="I50" s="12">
        <v>22893</v>
      </c>
      <c r="K50" s="5">
        <v>43590</v>
      </c>
      <c r="L50" s="5">
        <v>44318</v>
      </c>
      <c r="M50" s="12">
        <v>-4298</v>
      </c>
      <c r="N50" s="12">
        <v>-48</v>
      </c>
      <c r="O50" s="12">
        <v>-4346</v>
      </c>
      <c r="P50" s="9">
        <v>-0.15860363851064618</v>
      </c>
      <c r="Q50" s="9">
        <v>-0.34285714285714286</v>
      </c>
      <c r="R50" s="13">
        <v>-0.15955064429678034</v>
      </c>
    </row>
    <row r="51" spans="1:18" x14ac:dyDescent="0.2">
      <c r="A51" s="5">
        <v>43588</v>
      </c>
      <c r="B51" s="12">
        <v>40843</v>
      </c>
      <c r="C51" s="12">
        <v>1688</v>
      </c>
      <c r="D51" s="12">
        <v>42531</v>
      </c>
      <c r="F51" s="5">
        <v>44319</v>
      </c>
      <c r="G51" s="12">
        <v>37525</v>
      </c>
      <c r="H51" s="12">
        <v>1931</v>
      </c>
      <c r="I51" s="12">
        <v>39456</v>
      </c>
      <c r="K51" s="5">
        <v>43591</v>
      </c>
      <c r="L51" s="5">
        <v>44319</v>
      </c>
      <c r="M51" s="12">
        <v>-418</v>
      </c>
      <c r="N51" s="12">
        <v>-76</v>
      </c>
      <c r="O51" s="12">
        <v>-494</v>
      </c>
      <c r="P51" s="9">
        <v>-1.1016524787180737E-2</v>
      </c>
      <c r="Q51" s="9">
        <v>-3.7867463876432472E-2</v>
      </c>
      <c r="R51" s="13">
        <v>-1.2365456821026299E-2</v>
      </c>
    </row>
    <row r="52" spans="1:18" x14ac:dyDescent="0.2">
      <c r="A52" s="5">
        <v>43589</v>
      </c>
      <c r="B52" s="12">
        <v>34121</v>
      </c>
      <c r="C52" s="12">
        <v>363</v>
      </c>
      <c r="D52" s="12">
        <v>34484</v>
      </c>
      <c r="F52" s="5">
        <v>44320</v>
      </c>
      <c r="G52" s="12">
        <v>37260</v>
      </c>
      <c r="H52" s="12">
        <v>1958</v>
      </c>
      <c r="I52" s="12">
        <v>39218</v>
      </c>
      <c r="K52" s="5">
        <v>43592</v>
      </c>
      <c r="L52" s="5">
        <v>44320</v>
      </c>
      <c r="M52" s="12">
        <v>-1549</v>
      </c>
      <c r="N52" s="12">
        <v>-79</v>
      </c>
      <c r="O52" s="12">
        <v>-1628</v>
      </c>
      <c r="P52" s="9">
        <v>-3.991342214434801E-2</v>
      </c>
      <c r="Q52" s="9">
        <v>-3.8782523318605766E-2</v>
      </c>
      <c r="R52" s="13">
        <v>-3.9857023943593028E-2</v>
      </c>
    </row>
    <row r="53" spans="1:18" x14ac:dyDescent="0.2">
      <c r="A53" s="5">
        <v>43590</v>
      </c>
      <c r="B53" s="12">
        <v>27099</v>
      </c>
      <c r="C53" s="12">
        <v>140</v>
      </c>
      <c r="D53" s="12">
        <v>27239</v>
      </c>
      <c r="F53" s="5">
        <v>44321</v>
      </c>
      <c r="G53" s="12">
        <v>38499</v>
      </c>
      <c r="H53" s="12">
        <v>1908</v>
      </c>
      <c r="I53" s="12">
        <v>40407</v>
      </c>
      <c r="K53" s="5">
        <v>43593</v>
      </c>
      <c r="L53" s="5">
        <v>44321</v>
      </c>
      <c r="M53" s="12">
        <v>188</v>
      </c>
      <c r="N53" s="12">
        <v>170</v>
      </c>
      <c r="O53" s="12">
        <v>358</v>
      </c>
      <c r="P53" s="9">
        <v>4.9072068074442754E-3</v>
      </c>
      <c r="Q53" s="9">
        <v>9.7813578826237091E-2</v>
      </c>
      <c r="R53" s="13">
        <v>8.9390496641614803E-3</v>
      </c>
    </row>
    <row r="54" spans="1:18" x14ac:dyDescent="0.2">
      <c r="A54" s="5">
        <v>43591</v>
      </c>
      <c r="B54" s="12">
        <v>37943</v>
      </c>
      <c r="C54" s="12">
        <v>2007</v>
      </c>
      <c r="D54" s="12">
        <v>39950</v>
      </c>
      <c r="F54" s="5">
        <v>44322</v>
      </c>
      <c r="G54" s="12">
        <v>37658</v>
      </c>
      <c r="H54" s="12">
        <v>1914</v>
      </c>
      <c r="I54" s="12">
        <v>39572</v>
      </c>
      <c r="K54" s="5">
        <v>43594</v>
      </c>
      <c r="L54" s="5">
        <v>44322</v>
      </c>
      <c r="M54" s="12">
        <v>-1676</v>
      </c>
      <c r="N54" s="12">
        <v>100</v>
      </c>
      <c r="O54" s="12">
        <v>-1576</v>
      </c>
      <c r="P54" s="9">
        <v>-4.2609447297503378E-2</v>
      </c>
      <c r="Q54" s="9">
        <v>5.5126791620727644E-2</v>
      </c>
      <c r="R54" s="13">
        <v>-3.8300767959560611E-2</v>
      </c>
    </row>
    <row r="55" spans="1:18" x14ac:dyDescent="0.2">
      <c r="A55" s="5">
        <v>43592</v>
      </c>
      <c r="B55" s="12">
        <v>38809</v>
      </c>
      <c r="C55" s="12">
        <v>2037</v>
      </c>
      <c r="D55" s="12">
        <v>40846</v>
      </c>
      <c r="F55" s="5">
        <v>44323</v>
      </c>
      <c r="G55" s="12">
        <v>41601</v>
      </c>
      <c r="H55" s="12">
        <v>1797</v>
      </c>
      <c r="I55" s="12">
        <v>43398</v>
      </c>
      <c r="K55" s="5">
        <v>43595</v>
      </c>
      <c r="L55" s="5">
        <v>44323</v>
      </c>
      <c r="M55" s="12">
        <v>169</v>
      </c>
      <c r="N55" s="12">
        <v>77</v>
      </c>
      <c r="O55" s="12">
        <v>246</v>
      </c>
      <c r="P55" s="9">
        <v>4.0789727746668447E-3</v>
      </c>
      <c r="Q55" s="9">
        <v>4.4767441860465107E-2</v>
      </c>
      <c r="R55" s="13">
        <v>5.7007786429366103E-3</v>
      </c>
    </row>
    <row r="56" spans="1:18" x14ac:dyDescent="0.2">
      <c r="A56" s="5">
        <v>43593</v>
      </c>
      <c r="B56" s="12">
        <v>38311</v>
      </c>
      <c r="C56" s="12">
        <v>1738</v>
      </c>
      <c r="D56" s="12">
        <v>40049</v>
      </c>
      <c r="F56" s="5">
        <v>44324</v>
      </c>
      <c r="G56" s="12">
        <v>36359</v>
      </c>
      <c r="H56" s="12">
        <v>434</v>
      </c>
      <c r="I56" s="12">
        <v>36793</v>
      </c>
      <c r="K56" s="5">
        <v>43596</v>
      </c>
      <c r="L56" s="5">
        <v>44324</v>
      </c>
      <c r="M56" s="12">
        <v>283</v>
      </c>
      <c r="N56" s="12">
        <v>39</v>
      </c>
      <c r="O56" s="12">
        <v>322</v>
      </c>
      <c r="P56" s="9">
        <v>7.8445503936135363E-3</v>
      </c>
      <c r="Q56" s="9">
        <v>9.8734177215189955E-2</v>
      </c>
      <c r="R56" s="13">
        <v>8.828932576567583E-3</v>
      </c>
    </row>
    <row r="57" spans="1:18" x14ac:dyDescent="0.2">
      <c r="A57" s="5">
        <v>43594</v>
      </c>
      <c r="B57" s="12">
        <v>39334</v>
      </c>
      <c r="C57" s="12">
        <v>1814</v>
      </c>
      <c r="D57" s="12">
        <v>41148</v>
      </c>
      <c r="F57" s="5">
        <v>44325</v>
      </c>
      <c r="G57" s="12">
        <v>34144</v>
      </c>
      <c r="H57" s="12">
        <v>110</v>
      </c>
      <c r="I57" s="12">
        <v>34254</v>
      </c>
      <c r="K57" s="5">
        <v>43597</v>
      </c>
      <c r="L57" s="5">
        <v>44325</v>
      </c>
      <c r="M57" s="12">
        <v>4328</v>
      </c>
      <c r="N57" s="12">
        <v>-26</v>
      </c>
      <c r="O57" s="12">
        <v>4302</v>
      </c>
      <c r="P57" s="9">
        <v>0.14515696270458811</v>
      </c>
      <c r="Q57" s="9">
        <v>-0.19117647058823528</v>
      </c>
      <c r="R57" s="13">
        <v>0.14362980769230771</v>
      </c>
    </row>
    <row r="58" spans="1:18" x14ac:dyDescent="0.2">
      <c r="A58" s="5">
        <v>43595</v>
      </c>
      <c r="B58" s="12">
        <v>41432</v>
      </c>
      <c r="C58" s="12">
        <v>1720</v>
      </c>
      <c r="D58" s="12">
        <v>43152</v>
      </c>
      <c r="F58" s="5">
        <v>44326</v>
      </c>
      <c r="G58" s="12">
        <v>37126</v>
      </c>
      <c r="H58" s="12">
        <v>1946</v>
      </c>
      <c r="I58" s="12">
        <v>39072</v>
      </c>
      <c r="K58" s="5">
        <v>43598</v>
      </c>
      <c r="L58" s="5">
        <v>44326</v>
      </c>
      <c r="M58" s="12">
        <v>-304</v>
      </c>
      <c r="N58" s="12">
        <v>137</v>
      </c>
      <c r="O58" s="12">
        <v>-167</v>
      </c>
      <c r="P58" s="9">
        <v>-8.1218274111675148E-3</v>
      </c>
      <c r="Q58" s="9">
        <v>7.5732448866777213E-2</v>
      </c>
      <c r="R58" s="13">
        <v>-4.2559698259384549E-3</v>
      </c>
    </row>
    <row r="59" spans="1:18" x14ac:dyDescent="0.2">
      <c r="A59" s="5">
        <v>43596</v>
      </c>
      <c r="B59" s="12">
        <v>36076</v>
      </c>
      <c r="C59" s="12">
        <v>395</v>
      </c>
      <c r="D59" s="12">
        <v>36471</v>
      </c>
      <c r="F59" s="5">
        <v>44327</v>
      </c>
      <c r="G59" s="12">
        <v>37084</v>
      </c>
      <c r="H59" s="12">
        <v>2079</v>
      </c>
      <c r="I59" s="12">
        <v>39163</v>
      </c>
      <c r="K59" s="5">
        <v>43599</v>
      </c>
      <c r="L59" s="5">
        <v>44327</v>
      </c>
      <c r="M59" s="12">
        <v>-1809</v>
      </c>
      <c r="N59" s="12">
        <v>240</v>
      </c>
      <c r="O59" s="12">
        <v>-1569</v>
      </c>
      <c r="P59" s="9">
        <v>-4.6512225850410149E-2</v>
      </c>
      <c r="Q59" s="9">
        <v>0.13050570962479613</v>
      </c>
      <c r="R59" s="13">
        <v>-3.8520082490425267E-2</v>
      </c>
    </row>
    <row r="60" spans="1:18" x14ac:dyDescent="0.2">
      <c r="A60" s="5">
        <v>43597</v>
      </c>
      <c r="B60" s="12">
        <v>29816</v>
      </c>
      <c r="C60" s="12">
        <v>136</v>
      </c>
      <c r="D60" s="12">
        <v>29952</v>
      </c>
      <c r="F60" s="5">
        <v>44328</v>
      </c>
      <c r="G60" s="12">
        <v>42193</v>
      </c>
      <c r="H60" s="12">
        <v>2120</v>
      </c>
      <c r="I60" s="12">
        <v>44313</v>
      </c>
      <c r="K60" s="5">
        <v>43600</v>
      </c>
      <c r="L60" s="5">
        <v>44328</v>
      </c>
      <c r="M60" s="12">
        <v>2050</v>
      </c>
      <c r="N60" s="12">
        <v>249</v>
      </c>
      <c r="O60" s="12">
        <v>2299</v>
      </c>
      <c r="P60" s="9">
        <v>5.1067433923722705E-2</v>
      </c>
      <c r="Q60" s="9">
        <v>0.13308391234633876</v>
      </c>
      <c r="R60" s="13">
        <v>5.4719855286333052E-2</v>
      </c>
    </row>
    <row r="61" spans="1:18" x14ac:dyDescent="0.2">
      <c r="A61" s="5">
        <v>43598</v>
      </c>
      <c r="B61" s="12">
        <v>37430</v>
      </c>
      <c r="C61" s="12">
        <v>1809</v>
      </c>
      <c r="D61" s="12">
        <v>39239</v>
      </c>
      <c r="F61" s="5">
        <v>44329</v>
      </c>
      <c r="G61" s="12">
        <v>28655</v>
      </c>
      <c r="H61" s="12">
        <v>175</v>
      </c>
      <c r="I61" s="12">
        <v>28830</v>
      </c>
      <c r="K61" s="5">
        <v>43601</v>
      </c>
      <c r="L61" s="5">
        <v>44329</v>
      </c>
      <c r="M61" s="12">
        <v>-11215</v>
      </c>
      <c r="N61" s="12">
        <v>-1659</v>
      </c>
      <c r="O61" s="12">
        <v>-12874</v>
      </c>
      <c r="P61" s="9">
        <v>-0.28128918986706797</v>
      </c>
      <c r="Q61" s="9">
        <v>-0.90458015267175573</v>
      </c>
      <c r="R61" s="13">
        <v>-0.30869940533282181</v>
      </c>
    </row>
    <row r="62" spans="1:18" x14ac:dyDescent="0.2">
      <c r="A62" s="5">
        <v>43599</v>
      </c>
      <c r="B62" s="12">
        <v>38893</v>
      </c>
      <c r="C62" s="12">
        <v>1839</v>
      </c>
      <c r="D62" s="12">
        <v>40732</v>
      </c>
      <c r="F62" s="5">
        <v>44330</v>
      </c>
      <c r="G62" s="12">
        <v>37617</v>
      </c>
      <c r="H62" s="12">
        <v>1177</v>
      </c>
      <c r="I62" s="12">
        <v>38794</v>
      </c>
      <c r="K62" s="5">
        <v>43602</v>
      </c>
      <c r="L62" s="5">
        <v>44330</v>
      </c>
      <c r="M62" s="12">
        <v>-3756</v>
      </c>
      <c r="N62" s="12">
        <v>-648</v>
      </c>
      <c r="O62" s="12">
        <v>-4404</v>
      </c>
      <c r="P62" s="9">
        <v>-9.0783844536291736E-2</v>
      </c>
      <c r="Q62" s="9">
        <v>-0.35506849315068489</v>
      </c>
      <c r="R62" s="13">
        <v>-0.1019491643131627</v>
      </c>
    </row>
    <row r="63" spans="1:18" x14ac:dyDescent="0.2">
      <c r="A63" s="5">
        <v>43600</v>
      </c>
      <c r="B63" s="12">
        <v>40143</v>
      </c>
      <c r="C63" s="12">
        <v>1871</v>
      </c>
      <c r="D63" s="12">
        <v>42014</v>
      </c>
      <c r="F63" s="5">
        <v>44331</v>
      </c>
      <c r="G63" s="12">
        <v>30321</v>
      </c>
      <c r="H63" s="12">
        <v>416</v>
      </c>
      <c r="I63" s="12">
        <v>30737</v>
      </c>
      <c r="K63" s="5">
        <v>43603</v>
      </c>
      <c r="L63" s="5">
        <v>44331</v>
      </c>
      <c r="M63" s="12">
        <v>-4154</v>
      </c>
      <c r="N63" s="12">
        <v>47</v>
      </c>
      <c r="O63" s="12">
        <v>-4107</v>
      </c>
      <c r="P63" s="9">
        <v>-0.12049311094996373</v>
      </c>
      <c r="Q63" s="9">
        <v>0.12737127371273704</v>
      </c>
      <c r="R63" s="13">
        <v>-0.11786821260475266</v>
      </c>
    </row>
    <row r="64" spans="1:18" x14ac:dyDescent="0.2">
      <c r="A64" s="5">
        <v>43601</v>
      </c>
      <c r="B64" s="12">
        <v>39870</v>
      </c>
      <c r="C64" s="12">
        <v>1834</v>
      </c>
      <c r="D64" s="12">
        <v>41704</v>
      </c>
      <c r="F64" s="5">
        <v>44332</v>
      </c>
      <c r="G64" s="12">
        <v>23538</v>
      </c>
      <c r="H64" s="12">
        <v>139</v>
      </c>
      <c r="I64" s="12">
        <v>23677</v>
      </c>
      <c r="K64" s="5">
        <v>43604</v>
      </c>
      <c r="L64" s="5">
        <v>44332</v>
      </c>
      <c r="M64" s="12">
        <v>-4050</v>
      </c>
      <c r="N64" s="12">
        <v>12</v>
      </c>
      <c r="O64" s="12">
        <v>-4038</v>
      </c>
      <c r="P64" s="9">
        <v>-0.14680295780774255</v>
      </c>
      <c r="Q64" s="9">
        <v>9.4488188976378007E-2</v>
      </c>
      <c r="R64" s="13">
        <v>-0.14569727584340608</v>
      </c>
    </row>
    <row r="65" spans="1:18" x14ac:dyDescent="0.2">
      <c r="A65" s="5">
        <v>43602</v>
      </c>
      <c r="B65" s="12">
        <v>41373</v>
      </c>
      <c r="C65" s="12">
        <v>1825</v>
      </c>
      <c r="D65" s="12">
        <v>43198</v>
      </c>
      <c r="F65" s="5">
        <v>44333</v>
      </c>
      <c r="G65" s="12">
        <v>36344</v>
      </c>
      <c r="H65" s="12">
        <v>1843</v>
      </c>
      <c r="I65" s="12">
        <v>38187</v>
      </c>
      <c r="K65" s="5">
        <v>43605</v>
      </c>
      <c r="L65" s="5">
        <v>44333</v>
      </c>
      <c r="M65" s="12">
        <v>-434</v>
      </c>
      <c r="N65" s="12">
        <v>95</v>
      </c>
      <c r="O65" s="12">
        <v>-339</v>
      </c>
      <c r="P65" s="9">
        <v>-1.1800532927293439E-2</v>
      </c>
      <c r="Q65" s="9">
        <v>5.4347826086956541E-2</v>
      </c>
      <c r="R65" s="13">
        <v>-8.7992524528889282E-3</v>
      </c>
    </row>
    <row r="66" spans="1:18" x14ac:dyDescent="0.2">
      <c r="A66" s="5">
        <v>43603</v>
      </c>
      <c r="B66" s="12">
        <v>34475</v>
      </c>
      <c r="C66" s="12">
        <v>369</v>
      </c>
      <c r="D66" s="12">
        <v>34844</v>
      </c>
      <c r="F66" s="5">
        <v>44334</v>
      </c>
      <c r="G66" s="12">
        <v>38498</v>
      </c>
      <c r="H66" s="12">
        <v>1973</v>
      </c>
      <c r="I66" s="12">
        <v>40471</v>
      </c>
      <c r="K66" s="5">
        <v>43606</v>
      </c>
      <c r="L66" s="5">
        <v>44334</v>
      </c>
      <c r="M66" s="12">
        <v>158</v>
      </c>
      <c r="N66" s="12">
        <v>171</v>
      </c>
      <c r="O66" s="12">
        <v>329</v>
      </c>
      <c r="P66" s="9">
        <v>4.1210224308816379E-3</v>
      </c>
      <c r="Q66" s="9">
        <v>9.4894561598224181E-2</v>
      </c>
      <c r="R66" s="13">
        <v>8.1959045388868557E-3</v>
      </c>
    </row>
    <row r="67" spans="1:18" x14ac:dyDescent="0.2">
      <c r="A67" s="5">
        <v>43604</v>
      </c>
      <c r="B67" s="12">
        <v>27588</v>
      </c>
      <c r="C67" s="12">
        <v>127</v>
      </c>
      <c r="D67" s="12">
        <v>27715</v>
      </c>
      <c r="F67" s="5">
        <v>44335</v>
      </c>
      <c r="G67" s="12">
        <v>37609</v>
      </c>
      <c r="H67" s="12">
        <v>1702</v>
      </c>
      <c r="I67" s="12">
        <v>39311</v>
      </c>
      <c r="K67" s="5">
        <v>43607</v>
      </c>
      <c r="L67" s="5">
        <v>44335</v>
      </c>
      <c r="M67" s="12">
        <v>-2320</v>
      </c>
      <c r="N67" s="12">
        <v>-106</v>
      </c>
      <c r="O67" s="12">
        <v>-2426</v>
      </c>
      <c r="P67" s="9">
        <v>-5.8103133061183643E-2</v>
      </c>
      <c r="Q67" s="9">
        <v>-5.8628318584070804E-2</v>
      </c>
      <c r="R67" s="13">
        <v>-5.8125883508637455E-2</v>
      </c>
    </row>
    <row r="68" spans="1:18" x14ac:dyDescent="0.2">
      <c r="A68" s="5">
        <v>43605</v>
      </c>
      <c r="B68" s="12">
        <v>36778</v>
      </c>
      <c r="C68" s="12">
        <v>1748</v>
      </c>
      <c r="D68" s="12">
        <v>38526</v>
      </c>
      <c r="F68" s="5">
        <v>44336</v>
      </c>
      <c r="G68" s="12">
        <v>39530</v>
      </c>
      <c r="H68" s="12">
        <v>1957</v>
      </c>
      <c r="I68" s="12">
        <v>41487</v>
      </c>
      <c r="K68" s="5">
        <v>43608</v>
      </c>
      <c r="L68" s="5">
        <v>44336</v>
      </c>
      <c r="M68" s="12">
        <v>-809</v>
      </c>
      <c r="N68" s="12">
        <v>134</v>
      </c>
      <c r="O68" s="12">
        <v>-675</v>
      </c>
      <c r="P68" s="9">
        <v>-2.0055033590322013E-2</v>
      </c>
      <c r="Q68" s="9">
        <v>7.3505211190345587E-2</v>
      </c>
      <c r="R68" s="13">
        <v>-1.6009676960295982E-2</v>
      </c>
    </row>
    <row r="69" spans="1:18" x14ac:dyDescent="0.2">
      <c r="A69" s="5">
        <v>43606</v>
      </c>
      <c r="B69" s="12">
        <v>38340</v>
      </c>
      <c r="C69" s="12">
        <v>1802</v>
      </c>
      <c r="D69" s="12">
        <v>40142</v>
      </c>
      <c r="F69" s="5">
        <v>44337</v>
      </c>
      <c r="G69" s="12">
        <v>41748</v>
      </c>
      <c r="H69" s="12">
        <v>1791</v>
      </c>
      <c r="I69" s="12">
        <v>43539</v>
      </c>
      <c r="K69" s="5">
        <v>43609</v>
      </c>
      <c r="L69" s="5">
        <v>44337</v>
      </c>
      <c r="M69" s="12">
        <v>-173</v>
      </c>
      <c r="N69" s="12">
        <v>27</v>
      </c>
      <c r="O69" s="12">
        <v>-146</v>
      </c>
      <c r="P69" s="9">
        <v>-4.1268099520527235E-3</v>
      </c>
      <c r="Q69" s="9">
        <v>1.5306122448979664E-2</v>
      </c>
      <c r="R69" s="13">
        <v>-3.3421082751516895E-3</v>
      </c>
    </row>
    <row r="70" spans="1:18" x14ac:dyDescent="0.2">
      <c r="A70" s="5">
        <v>43607</v>
      </c>
      <c r="B70" s="12">
        <v>39929</v>
      </c>
      <c r="C70" s="12">
        <v>1808</v>
      </c>
      <c r="D70" s="12">
        <v>41737</v>
      </c>
      <c r="F70" s="5">
        <v>44338</v>
      </c>
      <c r="G70" s="12">
        <v>35741</v>
      </c>
      <c r="H70" s="12">
        <v>474</v>
      </c>
      <c r="I70" s="12">
        <v>36215</v>
      </c>
      <c r="K70" s="5">
        <v>43610</v>
      </c>
      <c r="L70" s="5">
        <v>44338</v>
      </c>
      <c r="M70" s="12">
        <v>1701</v>
      </c>
      <c r="N70" s="12">
        <v>47</v>
      </c>
      <c r="O70" s="12">
        <v>1748</v>
      </c>
      <c r="P70" s="9">
        <v>4.9970622796709829E-2</v>
      </c>
      <c r="Q70" s="9">
        <v>0.11007025761124112</v>
      </c>
      <c r="R70" s="13">
        <v>5.0715176835814058E-2</v>
      </c>
    </row>
    <row r="71" spans="1:18" x14ac:dyDescent="0.2">
      <c r="A71" s="5">
        <v>43608</v>
      </c>
      <c r="B71" s="12">
        <v>40339</v>
      </c>
      <c r="C71" s="12">
        <v>1823</v>
      </c>
      <c r="D71" s="12">
        <v>42162</v>
      </c>
      <c r="F71" s="5">
        <v>44339</v>
      </c>
      <c r="G71" s="12">
        <v>29961</v>
      </c>
      <c r="H71" s="12">
        <v>84</v>
      </c>
      <c r="I71" s="12">
        <v>30045</v>
      </c>
      <c r="K71" s="5">
        <v>43611</v>
      </c>
      <c r="L71" s="5">
        <v>44339</v>
      </c>
      <c r="M71" s="12">
        <v>-571</v>
      </c>
      <c r="N71" s="12">
        <v>-108</v>
      </c>
      <c r="O71" s="12">
        <v>-679</v>
      </c>
      <c r="P71" s="9">
        <v>-1.8701690030132334E-2</v>
      </c>
      <c r="Q71" s="9">
        <v>-0.5625</v>
      </c>
      <c r="R71" s="13">
        <v>-2.2099986980861908E-2</v>
      </c>
    </row>
    <row r="72" spans="1:18" x14ac:dyDescent="0.2">
      <c r="A72" s="5">
        <v>43609</v>
      </c>
      <c r="B72" s="12">
        <v>41921</v>
      </c>
      <c r="C72" s="12">
        <v>1764</v>
      </c>
      <c r="D72" s="12">
        <v>43685</v>
      </c>
      <c r="F72" s="5">
        <v>44340</v>
      </c>
      <c r="G72" s="12">
        <v>24787</v>
      </c>
      <c r="H72" s="12">
        <v>190</v>
      </c>
      <c r="I72" s="12">
        <v>24977</v>
      </c>
      <c r="K72" s="5">
        <v>43612</v>
      </c>
      <c r="L72" s="5">
        <v>44340</v>
      </c>
      <c r="M72" s="12">
        <v>-13224</v>
      </c>
      <c r="N72" s="12">
        <v>-1645</v>
      </c>
      <c r="O72" s="12">
        <v>-14869</v>
      </c>
      <c r="P72" s="9">
        <v>-0.34789929231012073</v>
      </c>
      <c r="Q72" s="9">
        <v>-0.89645776566757496</v>
      </c>
      <c r="R72" s="13">
        <v>-0.37316167243888976</v>
      </c>
    </row>
    <row r="73" spans="1:18" x14ac:dyDescent="0.2">
      <c r="A73" s="5">
        <v>43610</v>
      </c>
      <c r="B73" s="12">
        <v>34040</v>
      </c>
      <c r="C73" s="12">
        <v>427</v>
      </c>
      <c r="D73" s="12">
        <v>34467</v>
      </c>
      <c r="F73" s="5">
        <v>44341</v>
      </c>
      <c r="G73" s="12">
        <v>38363</v>
      </c>
      <c r="H73" s="12">
        <v>1904</v>
      </c>
      <c r="I73" s="12">
        <v>40267</v>
      </c>
      <c r="K73" s="5">
        <v>43613</v>
      </c>
      <c r="L73" s="5">
        <v>44341</v>
      </c>
      <c r="M73" s="12">
        <v>110</v>
      </c>
      <c r="N73" s="12">
        <v>-17</v>
      </c>
      <c r="O73" s="12">
        <v>93</v>
      </c>
      <c r="P73" s="9">
        <v>2.8755914568792118E-3</v>
      </c>
      <c r="Q73" s="9">
        <v>-8.8495575221239076E-3</v>
      </c>
      <c r="R73" s="13">
        <v>2.314930054263975E-3</v>
      </c>
    </row>
    <row r="74" spans="1:18" x14ac:dyDescent="0.2">
      <c r="A74" s="5">
        <v>43611</v>
      </c>
      <c r="B74" s="12">
        <v>30532</v>
      </c>
      <c r="C74" s="12">
        <v>192</v>
      </c>
      <c r="D74" s="12">
        <v>30724</v>
      </c>
      <c r="F74" s="5">
        <v>44342</v>
      </c>
      <c r="G74" s="12">
        <v>38739</v>
      </c>
      <c r="H74" s="12">
        <v>1973</v>
      </c>
      <c r="I74" s="12">
        <v>40712</v>
      </c>
      <c r="K74" s="5">
        <v>43614</v>
      </c>
      <c r="L74" s="5">
        <v>44342</v>
      </c>
      <c r="M74" s="12">
        <v>-3217</v>
      </c>
      <c r="N74" s="12">
        <v>44</v>
      </c>
      <c r="O74" s="12">
        <v>-3173</v>
      </c>
      <c r="P74" s="9">
        <v>-7.6675564877490721E-2</v>
      </c>
      <c r="Q74" s="9">
        <v>2.2809745982374396E-2</v>
      </c>
      <c r="R74" s="13">
        <v>-7.2302609091944858E-2</v>
      </c>
    </row>
    <row r="75" spans="1:18" x14ac:dyDescent="0.2">
      <c r="A75" s="5">
        <v>43612</v>
      </c>
      <c r="B75" s="12">
        <v>38011</v>
      </c>
      <c r="C75" s="12">
        <v>1835</v>
      </c>
      <c r="D75" s="12">
        <v>39846</v>
      </c>
      <c r="F75" s="5">
        <v>44343</v>
      </c>
      <c r="G75" s="12">
        <v>39403</v>
      </c>
      <c r="H75" s="12">
        <v>2027</v>
      </c>
      <c r="I75" s="12">
        <v>41430</v>
      </c>
      <c r="K75" s="5">
        <v>43615</v>
      </c>
      <c r="L75" s="5">
        <v>44343</v>
      </c>
      <c r="M75" s="12">
        <v>7299</v>
      </c>
      <c r="N75" s="12">
        <v>1882</v>
      </c>
      <c r="O75" s="12">
        <v>9181</v>
      </c>
      <c r="P75" s="9">
        <v>0.22735484674806883</v>
      </c>
      <c r="Q75" s="9">
        <v>12.979310344827587</v>
      </c>
      <c r="R75" s="13">
        <v>0.28469099817048593</v>
      </c>
    </row>
    <row r="76" spans="1:18" x14ac:dyDescent="0.2">
      <c r="A76" s="5">
        <v>43613</v>
      </c>
      <c r="B76" s="12">
        <v>38253</v>
      </c>
      <c r="C76" s="12">
        <v>1921</v>
      </c>
      <c r="D76" s="12">
        <v>40174</v>
      </c>
      <c r="F76" s="5">
        <v>44344</v>
      </c>
      <c r="G76" s="12">
        <v>43542</v>
      </c>
      <c r="H76" s="12">
        <v>1843</v>
      </c>
      <c r="I76" s="12">
        <v>45385</v>
      </c>
      <c r="K76" s="5">
        <v>43616</v>
      </c>
      <c r="L76" s="5">
        <v>44344</v>
      </c>
      <c r="M76" s="12">
        <v>6211</v>
      </c>
      <c r="N76" s="12">
        <v>699</v>
      </c>
      <c r="O76" s="12">
        <v>6910</v>
      </c>
      <c r="P76" s="9">
        <v>0.16637646995794375</v>
      </c>
      <c r="Q76" s="9">
        <v>0.61101398601398604</v>
      </c>
      <c r="R76" s="13">
        <v>0.17959714100064983</v>
      </c>
    </row>
    <row r="77" spans="1:18" x14ac:dyDescent="0.2">
      <c r="A77" s="5">
        <v>43614</v>
      </c>
      <c r="B77" s="12">
        <v>41956</v>
      </c>
      <c r="C77" s="12">
        <v>1929</v>
      </c>
      <c r="D77" s="12">
        <v>43885</v>
      </c>
      <c r="F77" s="5">
        <v>44345</v>
      </c>
      <c r="G77" s="12">
        <v>35369</v>
      </c>
      <c r="H77" s="12">
        <v>425</v>
      </c>
      <c r="I77" s="12">
        <v>35794</v>
      </c>
      <c r="K77" s="5">
        <v>43617</v>
      </c>
      <c r="L77" s="5">
        <v>44345</v>
      </c>
      <c r="M77" s="12">
        <v>1551</v>
      </c>
      <c r="N77" s="12">
        <v>37</v>
      </c>
      <c r="O77" s="12">
        <v>1588</v>
      </c>
      <c r="P77" s="9">
        <v>4.5863149801880665E-2</v>
      </c>
      <c r="Q77" s="9">
        <v>9.5360824742268147E-2</v>
      </c>
      <c r="R77" s="13">
        <v>4.6424603870665937E-2</v>
      </c>
    </row>
    <row r="78" spans="1:18" x14ac:dyDescent="0.2">
      <c r="A78" s="5">
        <v>43615</v>
      </c>
      <c r="B78" s="12">
        <v>32104</v>
      </c>
      <c r="C78" s="12">
        <v>145</v>
      </c>
      <c r="D78" s="12">
        <v>32249</v>
      </c>
      <c r="F78" s="5">
        <v>44346</v>
      </c>
      <c r="G78" s="12">
        <v>31990</v>
      </c>
      <c r="H78" s="12">
        <v>119</v>
      </c>
      <c r="I78" s="12">
        <v>32109</v>
      </c>
      <c r="K78" s="5">
        <v>43618</v>
      </c>
      <c r="L78" s="5">
        <v>44346</v>
      </c>
      <c r="M78" s="12">
        <v>978</v>
      </c>
      <c r="N78" s="12">
        <v>-98</v>
      </c>
      <c r="O78" s="12">
        <v>880</v>
      </c>
      <c r="P78" s="9">
        <v>3.1536179543402598E-2</v>
      </c>
      <c r="Q78" s="9">
        <v>-0.45161290322580649</v>
      </c>
      <c r="R78" s="13">
        <v>2.8178936245156772E-2</v>
      </c>
    </row>
    <row r="79" spans="1:18" x14ac:dyDescent="0.2">
      <c r="A79" s="5">
        <v>43616</v>
      </c>
      <c r="B79" s="12">
        <v>37331</v>
      </c>
      <c r="C79" s="12">
        <v>1144</v>
      </c>
      <c r="D79" s="12">
        <v>38475</v>
      </c>
      <c r="F79" s="5">
        <v>44347</v>
      </c>
      <c r="G79" s="12">
        <v>38359</v>
      </c>
      <c r="H79" s="12">
        <v>1781</v>
      </c>
      <c r="I79" s="12">
        <v>40140</v>
      </c>
      <c r="K79" s="5">
        <v>43619</v>
      </c>
      <c r="L79" s="5">
        <v>44347</v>
      </c>
      <c r="M79" s="12">
        <f t="shared" ref="M79:O79" si="2">G79-B82</f>
        <v>1320</v>
      </c>
      <c r="N79" s="12">
        <f t="shared" si="2"/>
        <v>-40</v>
      </c>
      <c r="O79" s="12">
        <f t="shared" si="2"/>
        <v>1280</v>
      </c>
      <c r="P79" s="9">
        <f t="shared" ref="P79:R79" si="3">G79/B82-1</f>
        <v>3.5638111180107401E-2</v>
      </c>
      <c r="Q79" s="9">
        <f t="shared" si="3"/>
        <v>-2.1965952773201569E-2</v>
      </c>
      <c r="R79" s="13">
        <f t="shared" si="3"/>
        <v>3.2938754503345269E-2</v>
      </c>
    </row>
    <row r="80" spans="1:18" x14ac:dyDescent="0.2">
      <c r="A80" s="5">
        <v>43617</v>
      </c>
      <c r="B80" s="12">
        <v>33818</v>
      </c>
      <c r="C80" s="12">
        <v>388</v>
      </c>
      <c r="D80" s="12">
        <v>34206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">
      <c r="A81" s="5">
        <v>43618</v>
      </c>
      <c r="B81" s="12">
        <v>31012</v>
      </c>
      <c r="C81" s="12">
        <v>217</v>
      </c>
      <c r="D81" s="12">
        <v>31229</v>
      </c>
      <c r="F81" s="5"/>
      <c r="G81" s="12"/>
      <c r="H81" s="12"/>
      <c r="I81" s="12"/>
      <c r="K81" s="5"/>
      <c r="L81" s="5"/>
      <c r="M81" s="12"/>
      <c r="N81" s="12"/>
      <c r="O81" s="12"/>
      <c r="P81" s="9"/>
      <c r="Q81" s="9"/>
      <c r="R81" s="13"/>
    </row>
    <row r="82" spans="1:18" x14ac:dyDescent="0.2">
      <c r="A82" s="5">
        <v>43619</v>
      </c>
      <c r="B82" s="12">
        <v>37039</v>
      </c>
      <c r="C82" s="12">
        <v>1821</v>
      </c>
      <c r="D82" s="12">
        <v>38860</v>
      </c>
      <c r="F82" s="5"/>
      <c r="G82" s="12"/>
      <c r="H82" s="12"/>
      <c r="I82" s="12"/>
      <c r="K82" s="5"/>
      <c r="L82" s="5"/>
      <c r="M82" s="12"/>
      <c r="N82" s="12"/>
      <c r="O82" s="12"/>
      <c r="P82" s="9"/>
      <c r="Q82" s="9"/>
      <c r="R82" s="13"/>
    </row>
    <row r="83" spans="1:18" x14ac:dyDescent="0.2">
      <c r="A83" s="5"/>
      <c r="B83" s="12"/>
      <c r="C83" s="12"/>
      <c r="D83" s="12"/>
      <c r="F83" s="5"/>
      <c r="G83" s="2"/>
      <c r="H83" s="2"/>
      <c r="I83" s="2"/>
      <c r="L83" s="5"/>
      <c r="M83" s="2"/>
      <c r="N83" s="2"/>
      <c r="O83" s="2"/>
      <c r="P83" s="2"/>
      <c r="Q83" s="2"/>
      <c r="R83" s="14"/>
    </row>
    <row r="84" spans="1:18" x14ac:dyDescent="0.2">
      <c r="B84" s="2"/>
      <c r="C84" s="2"/>
      <c r="G84" s="2"/>
      <c r="H84" s="2"/>
    </row>
    <row r="85" spans="1:18" ht="12.95" customHeight="1" x14ac:dyDescent="0.2">
      <c r="A85" s="26" t="s">
        <v>6</v>
      </c>
      <c r="B85" s="6"/>
      <c r="C85" s="6"/>
      <c r="D85" s="3"/>
      <c r="F85" s="26" t="s">
        <v>6</v>
      </c>
      <c r="G85" s="6"/>
      <c r="H85" s="6"/>
      <c r="I85" s="3"/>
      <c r="K85" s="26" t="s">
        <v>7</v>
      </c>
      <c r="L85" s="26"/>
      <c r="M85" s="6"/>
      <c r="N85" s="6"/>
      <c r="O85" s="3"/>
      <c r="P85" s="6"/>
      <c r="Q85" s="6"/>
      <c r="R85" s="3"/>
    </row>
    <row r="86" spans="1:18" ht="26.45" customHeight="1" x14ac:dyDescent="0.2">
      <c r="A86" s="27"/>
      <c r="B86" s="8" t="s">
        <v>38</v>
      </c>
      <c r="C86" s="4" t="s">
        <v>2</v>
      </c>
      <c r="D86" s="4" t="s">
        <v>0</v>
      </c>
      <c r="F86" s="27"/>
      <c r="G86" s="8" t="s">
        <v>38</v>
      </c>
      <c r="H86" s="4" t="s">
        <v>2</v>
      </c>
      <c r="I86" s="4" t="s">
        <v>0</v>
      </c>
      <c r="K86" s="27"/>
      <c r="L86" s="27"/>
      <c r="M86" s="8" t="s">
        <v>38</v>
      </c>
      <c r="N86" s="4" t="s">
        <v>2</v>
      </c>
      <c r="O86" s="4" t="s">
        <v>0</v>
      </c>
      <c r="P86" s="8" t="s">
        <v>38</v>
      </c>
      <c r="Q86" s="4" t="s">
        <v>2</v>
      </c>
      <c r="R86" s="4" t="s">
        <v>0</v>
      </c>
    </row>
    <row r="87" spans="1:18" x14ac:dyDescent="0.2">
      <c r="A87" s="5">
        <v>43586</v>
      </c>
      <c r="B87" s="12">
        <v>41458</v>
      </c>
      <c r="C87" s="12">
        <v>1310</v>
      </c>
      <c r="D87" s="12">
        <v>42768</v>
      </c>
      <c r="F87" s="5">
        <v>44317</v>
      </c>
      <c r="G87" s="12">
        <v>31439</v>
      </c>
      <c r="H87" s="12">
        <v>410</v>
      </c>
      <c r="I87" s="12">
        <v>31849</v>
      </c>
      <c r="K87" s="5">
        <v>43589</v>
      </c>
      <c r="L87" s="5">
        <v>44317</v>
      </c>
      <c r="M87" s="12">
        <v>-3078</v>
      </c>
      <c r="N87" s="12">
        <v>22</v>
      </c>
      <c r="O87" s="12">
        <v>-3056</v>
      </c>
      <c r="P87" s="9">
        <v>-8.9173450763392004E-2</v>
      </c>
      <c r="Q87" s="9">
        <v>5.6701030927835072E-2</v>
      </c>
      <c r="R87" s="13">
        <v>-8.7551926658071877E-2</v>
      </c>
    </row>
    <row r="88" spans="1:18" x14ac:dyDescent="0.2">
      <c r="A88" s="5">
        <v>43587</v>
      </c>
      <c r="B88" s="12">
        <v>40624</v>
      </c>
      <c r="C88" s="12">
        <v>1746</v>
      </c>
      <c r="D88" s="12">
        <v>42370</v>
      </c>
      <c r="F88" s="5">
        <v>44318</v>
      </c>
      <c r="G88" s="12">
        <v>24375</v>
      </c>
      <c r="H88" s="12">
        <v>102</v>
      </c>
      <c r="I88" s="12">
        <v>24477</v>
      </c>
      <c r="K88" s="5">
        <v>43590</v>
      </c>
      <c r="L88" s="5">
        <v>44318</v>
      </c>
      <c r="M88" s="12">
        <v>-3681</v>
      </c>
      <c r="N88" s="12">
        <v>-38</v>
      </c>
      <c r="O88" s="12">
        <v>-3719</v>
      </c>
      <c r="P88" s="9">
        <v>-0.13120188195038496</v>
      </c>
      <c r="Q88" s="9">
        <v>-0.27142857142857146</v>
      </c>
      <c r="R88" s="13">
        <v>-0.13189814158036606</v>
      </c>
    </row>
    <row r="89" spans="1:18" x14ac:dyDescent="0.2">
      <c r="A89" s="5">
        <v>43588</v>
      </c>
      <c r="B89" s="12">
        <v>40861</v>
      </c>
      <c r="C89" s="12">
        <v>1717</v>
      </c>
      <c r="D89" s="12">
        <v>42578</v>
      </c>
      <c r="F89" s="5">
        <v>44319</v>
      </c>
      <c r="G89" s="12">
        <v>38034</v>
      </c>
      <c r="H89" s="12">
        <v>1925</v>
      </c>
      <c r="I89" s="12">
        <v>39959</v>
      </c>
      <c r="K89" s="5">
        <v>43591</v>
      </c>
      <c r="L89" s="5">
        <v>44319</v>
      </c>
      <c r="M89" s="12">
        <v>-139</v>
      </c>
      <c r="N89" s="12">
        <v>-103</v>
      </c>
      <c r="O89" s="12">
        <v>-242</v>
      </c>
      <c r="P89" s="9">
        <v>-3.6413171613444151E-3</v>
      </c>
      <c r="Q89" s="9">
        <v>-5.0788954635108463E-2</v>
      </c>
      <c r="R89" s="13">
        <v>-6.0197507524688554E-3</v>
      </c>
    </row>
    <row r="90" spans="1:18" x14ac:dyDescent="0.2">
      <c r="A90" s="5">
        <v>43589</v>
      </c>
      <c r="B90" s="12">
        <v>34517</v>
      </c>
      <c r="C90" s="12">
        <v>388</v>
      </c>
      <c r="D90" s="12">
        <v>34905</v>
      </c>
      <c r="F90" s="5">
        <v>44320</v>
      </c>
      <c r="G90" s="12">
        <v>37888</v>
      </c>
      <c r="H90" s="12">
        <v>2023</v>
      </c>
      <c r="I90" s="12">
        <v>39911</v>
      </c>
      <c r="K90" s="5">
        <v>43592</v>
      </c>
      <c r="L90" s="5">
        <v>44320</v>
      </c>
      <c r="M90" s="12">
        <v>-1518</v>
      </c>
      <c r="N90" s="12">
        <v>0</v>
      </c>
      <c r="O90" s="12">
        <v>-1518</v>
      </c>
      <c r="P90" s="9">
        <v>-3.8522052479317836E-2</v>
      </c>
      <c r="Q90" s="9">
        <v>0</v>
      </c>
      <c r="R90" s="13">
        <v>-3.6641000265514534E-2</v>
      </c>
    </row>
    <row r="91" spans="1:18" x14ac:dyDescent="0.2">
      <c r="A91" s="5">
        <v>43590</v>
      </c>
      <c r="B91" s="12">
        <v>28056</v>
      </c>
      <c r="C91" s="12">
        <v>140</v>
      </c>
      <c r="D91" s="12">
        <v>28196</v>
      </c>
      <c r="F91" s="5">
        <v>44321</v>
      </c>
      <c r="G91" s="12">
        <v>39194</v>
      </c>
      <c r="H91" s="12">
        <v>2016</v>
      </c>
      <c r="I91" s="12">
        <v>41210</v>
      </c>
      <c r="K91" s="5">
        <v>43593</v>
      </c>
      <c r="L91" s="5">
        <v>44321</v>
      </c>
      <c r="M91" s="12">
        <v>-63</v>
      </c>
      <c r="N91" s="12">
        <v>203</v>
      </c>
      <c r="O91" s="12">
        <v>140</v>
      </c>
      <c r="P91" s="9">
        <v>-1.6048093333672631E-3</v>
      </c>
      <c r="Q91" s="9">
        <v>0.11196911196911197</v>
      </c>
      <c r="R91" s="13">
        <v>3.4088142196251336E-3</v>
      </c>
    </row>
    <row r="92" spans="1:18" x14ac:dyDescent="0.2">
      <c r="A92" s="5">
        <v>43591</v>
      </c>
      <c r="B92" s="12">
        <v>38173</v>
      </c>
      <c r="C92" s="12">
        <v>2028</v>
      </c>
      <c r="D92" s="12">
        <v>40201</v>
      </c>
      <c r="F92" s="5">
        <v>44322</v>
      </c>
      <c r="G92" s="12">
        <v>38467</v>
      </c>
      <c r="H92" s="12">
        <v>1979</v>
      </c>
      <c r="I92" s="12">
        <v>40446</v>
      </c>
      <c r="K92" s="5">
        <v>43594</v>
      </c>
      <c r="L92" s="5">
        <v>44322</v>
      </c>
      <c r="M92" s="12">
        <v>-1604</v>
      </c>
      <c r="N92" s="12">
        <v>169</v>
      </c>
      <c r="O92" s="12">
        <v>-1435</v>
      </c>
      <c r="P92" s="9">
        <v>-4.0028948616206206E-2</v>
      </c>
      <c r="Q92" s="9">
        <v>9.3370165745856326E-2</v>
      </c>
      <c r="R92" s="13">
        <v>-3.4263747283971302E-2</v>
      </c>
    </row>
    <row r="93" spans="1:18" x14ac:dyDescent="0.2">
      <c r="A93" s="5">
        <v>43592</v>
      </c>
      <c r="B93" s="12">
        <v>39406</v>
      </c>
      <c r="C93" s="12">
        <v>2023</v>
      </c>
      <c r="D93" s="12">
        <v>41429</v>
      </c>
      <c r="F93" s="5">
        <v>44323</v>
      </c>
      <c r="G93" s="12">
        <v>41143</v>
      </c>
      <c r="H93" s="12">
        <v>1846</v>
      </c>
      <c r="I93" s="12">
        <v>42989</v>
      </c>
      <c r="K93" s="5">
        <v>43595</v>
      </c>
      <c r="L93" s="5">
        <v>44323</v>
      </c>
      <c r="M93" s="12">
        <v>-862</v>
      </c>
      <c r="N93" s="12">
        <v>118</v>
      </c>
      <c r="O93" s="12">
        <v>-744</v>
      </c>
      <c r="P93" s="9">
        <v>-2.0521366503987615E-2</v>
      </c>
      <c r="Q93" s="9">
        <v>6.8287037037036979E-2</v>
      </c>
      <c r="R93" s="13">
        <v>-1.7012324789060895E-2</v>
      </c>
    </row>
    <row r="94" spans="1:18" x14ac:dyDescent="0.2">
      <c r="A94" s="5">
        <v>43593</v>
      </c>
      <c r="B94" s="12">
        <v>39257</v>
      </c>
      <c r="C94" s="12">
        <v>1813</v>
      </c>
      <c r="D94" s="12">
        <v>41070</v>
      </c>
      <c r="F94" s="5">
        <v>44324</v>
      </c>
      <c r="G94" s="12">
        <v>35224</v>
      </c>
      <c r="H94" s="12">
        <v>416</v>
      </c>
      <c r="I94" s="12">
        <v>35640</v>
      </c>
      <c r="K94" s="5">
        <v>43596</v>
      </c>
      <c r="L94" s="5">
        <v>44324</v>
      </c>
      <c r="M94" s="12">
        <v>855</v>
      </c>
      <c r="N94" s="12">
        <v>9</v>
      </c>
      <c r="O94" s="12">
        <v>864</v>
      </c>
      <c r="P94" s="9">
        <v>2.4877069452122536E-2</v>
      </c>
      <c r="Q94" s="9">
        <v>2.2113022113022129E-2</v>
      </c>
      <c r="R94" s="13">
        <v>2.4844720496894457E-2</v>
      </c>
    </row>
    <row r="95" spans="1:18" x14ac:dyDescent="0.2">
      <c r="A95" s="5">
        <v>43594</v>
      </c>
      <c r="B95" s="12">
        <v>40071</v>
      </c>
      <c r="C95" s="12">
        <v>1810</v>
      </c>
      <c r="D95" s="12">
        <v>41881</v>
      </c>
      <c r="F95" s="5">
        <v>44325</v>
      </c>
      <c r="G95" s="12">
        <v>35391</v>
      </c>
      <c r="H95" s="12">
        <v>139</v>
      </c>
      <c r="I95" s="12">
        <v>35530</v>
      </c>
      <c r="K95" s="5">
        <v>43597</v>
      </c>
      <c r="L95" s="5">
        <v>44325</v>
      </c>
      <c r="M95" s="12">
        <v>4881</v>
      </c>
      <c r="N95" s="12">
        <v>20</v>
      </c>
      <c r="O95" s="12">
        <v>4901</v>
      </c>
      <c r="P95" s="9">
        <v>0.15998033431661751</v>
      </c>
      <c r="Q95" s="9">
        <v>0.16806722689075637</v>
      </c>
      <c r="R95" s="13">
        <v>0.16001175356688102</v>
      </c>
    </row>
    <row r="96" spans="1:18" x14ac:dyDescent="0.2">
      <c r="A96" s="5">
        <v>43595</v>
      </c>
      <c r="B96" s="12">
        <v>42005</v>
      </c>
      <c r="C96" s="12">
        <v>1728</v>
      </c>
      <c r="D96" s="12">
        <v>43733</v>
      </c>
      <c r="F96" s="5">
        <v>44326</v>
      </c>
      <c r="G96" s="12">
        <v>37846</v>
      </c>
      <c r="H96" s="12">
        <v>1914</v>
      </c>
      <c r="I96" s="12">
        <v>39760</v>
      </c>
      <c r="K96" s="5">
        <v>43598</v>
      </c>
      <c r="L96" s="5">
        <v>44326</v>
      </c>
      <c r="M96" s="12">
        <v>134</v>
      </c>
      <c r="N96" s="12">
        <v>47</v>
      </c>
      <c r="O96" s="12">
        <v>181</v>
      </c>
      <c r="P96" s="9">
        <v>3.5532456512517019E-3</v>
      </c>
      <c r="Q96" s="9">
        <v>2.5174076057846717E-2</v>
      </c>
      <c r="R96" s="13">
        <v>4.5731322165794008E-3</v>
      </c>
    </row>
    <row r="97" spans="1:18" x14ac:dyDescent="0.2">
      <c r="A97" s="5">
        <v>43596</v>
      </c>
      <c r="B97" s="12">
        <v>34369</v>
      </c>
      <c r="C97" s="12">
        <v>407</v>
      </c>
      <c r="D97" s="12">
        <v>34776</v>
      </c>
      <c r="F97" s="5">
        <v>44327</v>
      </c>
      <c r="G97" s="12">
        <v>38318</v>
      </c>
      <c r="H97" s="12">
        <v>2141</v>
      </c>
      <c r="I97" s="12">
        <v>40459</v>
      </c>
      <c r="K97" s="5">
        <v>43599</v>
      </c>
      <c r="L97" s="5">
        <v>44327</v>
      </c>
      <c r="M97" s="12">
        <v>-583</v>
      </c>
      <c r="N97" s="12">
        <v>306</v>
      </c>
      <c r="O97" s="12">
        <v>-277</v>
      </c>
      <c r="P97" s="9">
        <v>-1.4986761265777249E-2</v>
      </c>
      <c r="Q97" s="9">
        <v>0.16675749318801092</v>
      </c>
      <c r="R97" s="13">
        <v>-6.7998821681067856E-3</v>
      </c>
    </row>
    <row r="98" spans="1:18" x14ac:dyDescent="0.2">
      <c r="A98" s="5">
        <v>43597</v>
      </c>
      <c r="B98" s="12">
        <v>30510</v>
      </c>
      <c r="C98" s="12">
        <v>119</v>
      </c>
      <c r="D98" s="12">
        <v>30629</v>
      </c>
      <c r="F98" s="5">
        <v>44328</v>
      </c>
      <c r="G98" s="12">
        <v>41436</v>
      </c>
      <c r="H98" s="12">
        <v>2088</v>
      </c>
      <c r="I98" s="12">
        <v>43524</v>
      </c>
      <c r="K98" s="5">
        <v>43600</v>
      </c>
      <c r="L98" s="5">
        <v>44328</v>
      </c>
      <c r="M98" s="12">
        <v>698</v>
      </c>
      <c r="N98" s="12">
        <v>221</v>
      </c>
      <c r="O98" s="12">
        <v>919</v>
      </c>
      <c r="P98" s="9">
        <v>1.7133879915558037E-2</v>
      </c>
      <c r="Q98" s="9">
        <v>0.1183717193358329</v>
      </c>
      <c r="R98" s="13">
        <v>2.1570238234948969E-2</v>
      </c>
    </row>
    <row r="99" spans="1:18" x14ac:dyDescent="0.2">
      <c r="A99" s="5">
        <v>43598</v>
      </c>
      <c r="B99" s="12">
        <v>37712</v>
      </c>
      <c r="C99" s="12">
        <v>1867</v>
      </c>
      <c r="D99" s="12">
        <v>39579</v>
      </c>
      <c r="F99" s="5">
        <v>44329</v>
      </c>
      <c r="G99" s="12">
        <v>25173</v>
      </c>
      <c r="H99" s="12">
        <v>139</v>
      </c>
      <c r="I99" s="12">
        <v>25312</v>
      </c>
      <c r="K99" s="5">
        <v>43601</v>
      </c>
      <c r="L99" s="5">
        <v>44329</v>
      </c>
      <c r="M99" s="12">
        <v>-16002</v>
      </c>
      <c r="N99" s="12">
        <v>-1743</v>
      </c>
      <c r="O99" s="12">
        <v>-17745</v>
      </c>
      <c r="P99" s="9">
        <v>-0.38863387978142072</v>
      </c>
      <c r="Q99" s="9">
        <v>-0.92614240170031881</v>
      </c>
      <c r="R99" s="13">
        <v>-0.41212810925052834</v>
      </c>
    </row>
    <row r="100" spans="1:18" x14ac:dyDescent="0.2">
      <c r="A100" s="5">
        <v>43599</v>
      </c>
      <c r="B100" s="12">
        <v>38901</v>
      </c>
      <c r="C100" s="12">
        <v>1835</v>
      </c>
      <c r="D100" s="12">
        <v>40736</v>
      </c>
      <c r="F100" s="5">
        <v>44330</v>
      </c>
      <c r="G100" s="12">
        <v>36962</v>
      </c>
      <c r="H100" s="12">
        <v>1153</v>
      </c>
      <c r="I100" s="12">
        <v>38115</v>
      </c>
      <c r="K100" s="5">
        <v>43602</v>
      </c>
      <c r="L100" s="5">
        <v>44330</v>
      </c>
      <c r="M100" s="12">
        <v>-4945</v>
      </c>
      <c r="N100" s="12">
        <v>-740</v>
      </c>
      <c r="O100" s="12">
        <v>-5685</v>
      </c>
      <c r="P100" s="9">
        <v>-0.11799937957859064</v>
      </c>
      <c r="Q100" s="9">
        <v>-0.3909138932910724</v>
      </c>
      <c r="R100" s="13">
        <v>-0.12979452054794516</v>
      </c>
    </row>
    <row r="101" spans="1:18" x14ac:dyDescent="0.2">
      <c r="A101" s="5">
        <v>43600</v>
      </c>
      <c r="B101" s="12">
        <v>40738</v>
      </c>
      <c r="C101" s="12">
        <v>1867</v>
      </c>
      <c r="D101" s="12">
        <v>42605</v>
      </c>
      <c r="F101" s="5">
        <v>44331</v>
      </c>
      <c r="G101" s="12">
        <v>31466</v>
      </c>
      <c r="H101" s="12">
        <v>426</v>
      </c>
      <c r="I101" s="12">
        <v>31892</v>
      </c>
      <c r="K101" s="5">
        <v>43603</v>
      </c>
      <c r="L101" s="5">
        <v>44331</v>
      </c>
      <c r="M101" s="12">
        <v>-2445</v>
      </c>
      <c r="N101" s="12">
        <v>8</v>
      </c>
      <c r="O101" s="12">
        <v>-2437</v>
      </c>
      <c r="P101" s="9">
        <v>-7.2100498363362964E-2</v>
      </c>
      <c r="Q101" s="9">
        <v>1.9138755980861344E-2</v>
      </c>
      <c r="R101" s="13">
        <v>-7.0989542369425229E-2</v>
      </c>
    </row>
    <row r="102" spans="1:18" x14ac:dyDescent="0.2">
      <c r="A102" s="5">
        <v>43601</v>
      </c>
      <c r="B102" s="12">
        <v>41175</v>
      </c>
      <c r="C102" s="12">
        <v>1882</v>
      </c>
      <c r="D102" s="12">
        <v>43057</v>
      </c>
      <c r="F102" s="5">
        <v>44332</v>
      </c>
      <c r="G102" s="12">
        <v>27210</v>
      </c>
      <c r="H102" s="12">
        <v>203</v>
      </c>
      <c r="I102" s="12">
        <v>27413</v>
      </c>
      <c r="K102" s="5">
        <v>43604</v>
      </c>
      <c r="L102" s="5">
        <v>44332</v>
      </c>
      <c r="M102" s="12">
        <v>-1283</v>
      </c>
      <c r="N102" s="12">
        <v>90</v>
      </c>
      <c r="O102" s="12">
        <v>-1193</v>
      </c>
      <c r="P102" s="9">
        <v>-4.5028603516653165E-2</v>
      </c>
      <c r="Q102" s="9">
        <v>0.79646017699115035</v>
      </c>
      <c r="R102" s="13">
        <v>-4.1704537509613337E-2</v>
      </c>
    </row>
    <row r="103" spans="1:18" x14ac:dyDescent="0.2">
      <c r="A103" s="5">
        <v>43602</v>
      </c>
      <c r="B103" s="12">
        <v>41907</v>
      </c>
      <c r="C103" s="12">
        <v>1893</v>
      </c>
      <c r="D103" s="12">
        <v>43800</v>
      </c>
      <c r="F103" s="5">
        <v>44333</v>
      </c>
      <c r="G103" s="12">
        <v>36940</v>
      </c>
      <c r="H103" s="12">
        <v>1878</v>
      </c>
      <c r="I103" s="12">
        <v>38818</v>
      </c>
      <c r="K103" s="5">
        <v>43605</v>
      </c>
      <c r="L103" s="5">
        <v>44333</v>
      </c>
      <c r="M103" s="12">
        <v>-241</v>
      </c>
      <c r="N103" s="12">
        <v>64</v>
      </c>
      <c r="O103" s="12">
        <v>-177</v>
      </c>
      <c r="P103" s="9">
        <v>-6.4818052230978251E-3</v>
      </c>
      <c r="Q103" s="9">
        <v>3.5281146637265781E-2</v>
      </c>
      <c r="R103" s="13">
        <v>-4.5390434671112034E-3</v>
      </c>
    </row>
    <row r="104" spans="1:18" x14ac:dyDescent="0.2">
      <c r="A104" s="5">
        <v>43603</v>
      </c>
      <c r="B104" s="12">
        <v>33911</v>
      </c>
      <c r="C104" s="12">
        <v>418</v>
      </c>
      <c r="D104" s="12">
        <v>34329</v>
      </c>
      <c r="F104" s="5">
        <v>44334</v>
      </c>
      <c r="G104" s="12">
        <v>38672</v>
      </c>
      <c r="H104" s="12">
        <v>2029</v>
      </c>
      <c r="I104" s="12">
        <v>40701</v>
      </c>
      <c r="K104" s="5">
        <v>43606</v>
      </c>
      <c r="L104" s="5">
        <v>44334</v>
      </c>
      <c r="M104" s="12">
        <v>-289</v>
      </c>
      <c r="N104" s="12">
        <v>121</v>
      </c>
      <c r="O104" s="12">
        <v>-168</v>
      </c>
      <c r="P104" s="9">
        <v>-7.4176740843407973E-3</v>
      </c>
      <c r="Q104" s="9">
        <v>6.3417190775681309E-2</v>
      </c>
      <c r="R104" s="13">
        <v>-4.1106951479116249E-3</v>
      </c>
    </row>
    <row r="105" spans="1:18" x14ac:dyDescent="0.2">
      <c r="A105" s="5">
        <v>43604</v>
      </c>
      <c r="B105" s="12">
        <v>28493</v>
      </c>
      <c r="C105" s="12">
        <v>113</v>
      </c>
      <c r="D105" s="12">
        <v>28606</v>
      </c>
      <c r="F105" s="5">
        <v>44335</v>
      </c>
      <c r="G105" s="12">
        <v>38434</v>
      </c>
      <c r="H105" s="12">
        <v>1743</v>
      </c>
      <c r="I105" s="12">
        <v>40177</v>
      </c>
      <c r="K105" s="5">
        <v>43607</v>
      </c>
      <c r="L105" s="5">
        <v>44335</v>
      </c>
      <c r="M105" s="12">
        <v>-2193</v>
      </c>
      <c r="N105" s="12">
        <v>-156</v>
      </c>
      <c r="O105" s="12">
        <v>-2349</v>
      </c>
      <c r="P105" s="9">
        <v>-5.3978881039702609E-2</v>
      </c>
      <c r="Q105" s="9">
        <v>-8.2148499210110582E-2</v>
      </c>
      <c r="R105" s="13">
        <v>-5.523679631284395E-2</v>
      </c>
    </row>
    <row r="106" spans="1:18" x14ac:dyDescent="0.2">
      <c r="A106" s="5">
        <v>43605</v>
      </c>
      <c r="B106" s="12">
        <v>37181</v>
      </c>
      <c r="C106" s="12">
        <v>1814</v>
      </c>
      <c r="D106" s="12">
        <v>38995</v>
      </c>
      <c r="F106" s="5">
        <v>44336</v>
      </c>
      <c r="G106" s="12">
        <v>39311</v>
      </c>
      <c r="H106" s="12">
        <v>1979</v>
      </c>
      <c r="I106" s="12">
        <v>41290</v>
      </c>
      <c r="K106" s="5">
        <v>43608</v>
      </c>
      <c r="L106" s="5">
        <v>44336</v>
      </c>
      <c r="M106" s="12">
        <v>-1683</v>
      </c>
      <c r="N106" s="12">
        <v>97</v>
      </c>
      <c r="O106" s="12">
        <v>-1586</v>
      </c>
      <c r="P106" s="9">
        <v>-4.1054788505634932E-2</v>
      </c>
      <c r="Q106" s="9">
        <v>5.1540913921360287E-2</v>
      </c>
      <c r="R106" s="13">
        <v>-3.6990390894673042E-2</v>
      </c>
    </row>
    <row r="107" spans="1:18" x14ac:dyDescent="0.2">
      <c r="A107" s="5">
        <v>43606</v>
      </c>
      <c r="B107" s="12">
        <v>38961</v>
      </c>
      <c r="C107" s="12">
        <v>1908</v>
      </c>
      <c r="D107" s="12">
        <v>40869</v>
      </c>
      <c r="F107" s="5">
        <v>44337</v>
      </c>
      <c r="G107" s="12">
        <v>40478</v>
      </c>
      <c r="H107" s="12">
        <v>1810</v>
      </c>
      <c r="I107" s="12">
        <v>42288</v>
      </c>
      <c r="K107" s="5">
        <v>43609</v>
      </c>
      <c r="L107" s="5">
        <v>44337</v>
      </c>
      <c r="M107" s="12">
        <v>-1670</v>
      </c>
      <c r="N107" s="12">
        <v>-57</v>
      </c>
      <c r="O107" s="12">
        <v>-1727</v>
      </c>
      <c r="P107" s="9">
        <v>-3.9622283382366952E-2</v>
      </c>
      <c r="Q107" s="9">
        <v>-3.0530262453133394E-2</v>
      </c>
      <c r="R107" s="13">
        <v>-3.9236623878223353E-2</v>
      </c>
    </row>
    <row r="108" spans="1:18" x14ac:dyDescent="0.2">
      <c r="A108" s="5">
        <v>43607</v>
      </c>
      <c r="B108" s="12">
        <v>40627</v>
      </c>
      <c r="C108" s="12">
        <v>1899</v>
      </c>
      <c r="D108" s="12">
        <v>42526</v>
      </c>
      <c r="F108" s="5">
        <v>44338</v>
      </c>
      <c r="G108" s="12">
        <v>32299</v>
      </c>
      <c r="H108" s="12">
        <v>472</v>
      </c>
      <c r="I108" s="12">
        <v>32771</v>
      </c>
      <c r="K108" s="5">
        <v>43610</v>
      </c>
      <c r="L108" s="5">
        <v>44338</v>
      </c>
      <c r="M108" s="12">
        <v>-2360</v>
      </c>
      <c r="N108" s="12">
        <v>-14</v>
      </c>
      <c r="O108" s="12">
        <v>-2374</v>
      </c>
      <c r="P108" s="9">
        <v>-6.8091981880608166E-2</v>
      </c>
      <c r="Q108" s="9">
        <v>-2.8806584362139898E-2</v>
      </c>
      <c r="R108" s="13">
        <v>-6.7548726703656303E-2</v>
      </c>
    </row>
    <row r="109" spans="1:18" x14ac:dyDescent="0.2">
      <c r="A109" s="5">
        <v>43608</v>
      </c>
      <c r="B109" s="12">
        <v>40994</v>
      </c>
      <c r="C109" s="12">
        <v>1882</v>
      </c>
      <c r="D109" s="12">
        <v>42876</v>
      </c>
      <c r="F109" s="5">
        <v>44339</v>
      </c>
      <c r="G109" s="12">
        <v>29691</v>
      </c>
      <c r="H109" s="12">
        <v>94</v>
      </c>
      <c r="I109" s="12">
        <v>29785</v>
      </c>
      <c r="K109" s="5">
        <v>43611</v>
      </c>
      <c r="L109" s="5">
        <v>44339</v>
      </c>
      <c r="M109" s="12">
        <v>-494</v>
      </c>
      <c r="N109" s="12">
        <v>-89</v>
      </c>
      <c r="O109" s="12">
        <v>-583</v>
      </c>
      <c r="P109" s="9">
        <v>-1.6365744575120078E-2</v>
      </c>
      <c r="Q109" s="9">
        <v>-0.48633879781420764</v>
      </c>
      <c r="R109" s="13">
        <v>-1.9197839831401442E-2</v>
      </c>
    </row>
    <row r="110" spans="1:18" x14ac:dyDescent="0.2">
      <c r="A110" s="5">
        <v>43609</v>
      </c>
      <c r="B110" s="12">
        <v>42148</v>
      </c>
      <c r="C110" s="12">
        <v>1867</v>
      </c>
      <c r="D110" s="12">
        <v>44015</v>
      </c>
      <c r="F110" s="5">
        <v>44340</v>
      </c>
      <c r="G110" s="12">
        <v>29201</v>
      </c>
      <c r="H110" s="12">
        <v>230</v>
      </c>
      <c r="I110" s="12">
        <v>29431</v>
      </c>
      <c r="K110" s="5">
        <v>43612</v>
      </c>
      <c r="L110" s="5">
        <v>44340</v>
      </c>
      <c r="M110" s="12">
        <v>-9274</v>
      </c>
      <c r="N110" s="12">
        <v>-1627</v>
      </c>
      <c r="O110" s="12">
        <v>-10901</v>
      </c>
      <c r="P110" s="9">
        <v>-0.24103963612735546</v>
      </c>
      <c r="Q110" s="9">
        <v>-0.87614431879375332</v>
      </c>
      <c r="R110" s="13">
        <v>-0.27028166220370919</v>
      </c>
    </row>
    <row r="111" spans="1:18" x14ac:dyDescent="0.2">
      <c r="A111" s="5">
        <v>43610</v>
      </c>
      <c r="B111" s="12">
        <v>34659</v>
      </c>
      <c r="C111" s="12">
        <v>486</v>
      </c>
      <c r="D111" s="12">
        <v>35145</v>
      </c>
      <c r="F111" s="5">
        <v>44341</v>
      </c>
      <c r="G111" s="12">
        <v>39202</v>
      </c>
      <c r="H111" s="12">
        <v>1939</v>
      </c>
      <c r="I111" s="12">
        <v>41141</v>
      </c>
      <c r="K111" s="5">
        <v>43613</v>
      </c>
      <c r="L111" s="5">
        <v>44341</v>
      </c>
      <c r="M111" s="12">
        <v>-436</v>
      </c>
      <c r="N111" s="12">
        <v>5</v>
      </c>
      <c r="O111" s="12">
        <v>-431</v>
      </c>
      <c r="P111" s="9">
        <v>-1.0999545890307272E-2</v>
      </c>
      <c r="Q111" s="9">
        <v>2.585315408479838E-3</v>
      </c>
      <c r="R111" s="13">
        <v>-1.0367555085153524E-2</v>
      </c>
    </row>
    <row r="112" spans="1:18" x14ac:dyDescent="0.2">
      <c r="A112" s="5">
        <v>43611</v>
      </c>
      <c r="B112" s="12">
        <v>30185</v>
      </c>
      <c r="C112" s="12">
        <v>183</v>
      </c>
      <c r="D112" s="12">
        <v>30368</v>
      </c>
      <c r="F112" s="5">
        <v>44342</v>
      </c>
      <c r="G112" s="12">
        <v>39831</v>
      </c>
      <c r="H112" s="12">
        <v>1992</v>
      </c>
      <c r="I112" s="12">
        <v>41823</v>
      </c>
      <c r="K112" s="5">
        <v>43614</v>
      </c>
      <c r="L112" s="5">
        <v>44342</v>
      </c>
      <c r="M112" s="12">
        <v>-2131</v>
      </c>
      <c r="N112" s="12">
        <v>16</v>
      </c>
      <c r="O112" s="12">
        <v>-2115</v>
      </c>
      <c r="P112" s="9">
        <v>-5.0784042705304788E-2</v>
      </c>
      <c r="Q112" s="9">
        <v>8.0971659919029104E-3</v>
      </c>
      <c r="R112" s="13">
        <v>-4.8136009832036031E-2</v>
      </c>
    </row>
    <row r="113" spans="1:18" x14ac:dyDescent="0.2">
      <c r="A113" s="5">
        <v>43612</v>
      </c>
      <c r="B113" s="12">
        <v>38475</v>
      </c>
      <c r="C113" s="12">
        <v>1857</v>
      </c>
      <c r="D113" s="12">
        <v>40332</v>
      </c>
      <c r="F113" s="5">
        <v>44343</v>
      </c>
      <c r="G113" s="12">
        <v>39690</v>
      </c>
      <c r="H113" s="12">
        <v>2067</v>
      </c>
      <c r="I113" s="12">
        <v>41757</v>
      </c>
      <c r="K113" s="5">
        <v>43615</v>
      </c>
      <c r="L113" s="5">
        <v>44343</v>
      </c>
      <c r="M113" s="12">
        <v>9870</v>
      </c>
      <c r="N113" s="12">
        <v>1880</v>
      </c>
      <c r="O113" s="12">
        <v>11750</v>
      </c>
      <c r="P113" s="9">
        <v>0.33098591549295775</v>
      </c>
      <c r="Q113" s="9">
        <v>10.053475935828876</v>
      </c>
      <c r="R113" s="13">
        <v>0.39157529909687749</v>
      </c>
    </row>
    <row r="114" spans="1:18" x14ac:dyDescent="0.2">
      <c r="A114" s="5">
        <v>43613</v>
      </c>
      <c r="B114" s="12">
        <v>39638</v>
      </c>
      <c r="C114" s="12">
        <v>1934</v>
      </c>
      <c r="D114" s="12">
        <v>41572</v>
      </c>
      <c r="F114" s="5">
        <v>44344</v>
      </c>
      <c r="G114" s="12">
        <v>42805</v>
      </c>
      <c r="H114" s="12">
        <v>1875</v>
      </c>
      <c r="I114" s="12">
        <v>44680</v>
      </c>
      <c r="K114" s="5">
        <v>43616</v>
      </c>
      <c r="L114" s="5">
        <v>44344</v>
      </c>
      <c r="M114" s="12">
        <v>6142</v>
      </c>
      <c r="N114" s="12">
        <v>742</v>
      </c>
      <c r="O114" s="12">
        <v>6884</v>
      </c>
      <c r="P114" s="9">
        <v>0.16752584349344035</v>
      </c>
      <c r="Q114" s="9">
        <v>0.65489849955869373</v>
      </c>
      <c r="R114" s="13">
        <v>0.18213567573288181</v>
      </c>
    </row>
    <row r="115" spans="1:18" x14ac:dyDescent="0.2">
      <c r="A115" s="5">
        <v>43614</v>
      </c>
      <c r="B115" s="12">
        <v>41962</v>
      </c>
      <c r="C115" s="12">
        <v>1976</v>
      </c>
      <c r="D115" s="12">
        <v>43938</v>
      </c>
      <c r="F115" s="5">
        <v>44345</v>
      </c>
      <c r="G115" s="12">
        <v>34487</v>
      </c>
      <c r="H115" s="12">
        <v>439</v>
      </c>
      <c r="I115" s="12">
        <v>34926</v>
      </c>
      <c r="K115" s="5">
        <v>43617</v>
      </c>
      <c r="L115" s="5">
        <v>44345</v>
      </c>
      <c r="M115" s="12">
        <v>530</v>
      </c>
      <c r="N115" s="12">
        <v>5</v>
      </c>
      <c r="O115" s="12">
        <v>535</v>
      </c>
      <c r="P115" s="9">
        <v>1.5607974791648216E-2</v>
      </c>
      <c r="Q115" s="9">
        <v>1.1520737327188835E-2</v>
      </c>
      <c r="R115" s="13">
        <v>1.5556395568607995E-2</v>
      </c>
    </row>
    <row r="116" spans="1:18" x14ac:dyDescent="0.2">
      <c r="A116" s="5">
        <v>43615</v>
      </c>
      <c r="B116" s="12">
        <v>29820</v>
      </c>
      <c r="C116" s="12">
        <v>187</v>
      </c>
      <c r="D116" s="12">
        <v>30007</v>
      </c>
      <c r="F116" s="5">
        <v>44346</v>
      </c>
      <c r="G116" s="12">
        <v>33317</v>
      </c>
      <c r="H116" s="12">
        <v>150</v>
      </c>
      <c r="I116" s="12">
        <v>33467</v>
      </c>
      <c r="K116" s="5">
        <v>43618</v>
      </c>
      <c r="L116" s="5">
        <v>44346</v>
      </c>
      <c r="M116" s="12">
        <v>503</v>
      </c>
      <c r="N116" s="12">
        <v>-56</v>
      </c>
      <c r="O116" s="12">
        <v>447</v>
      </c>
      <c r="P116" s="9">
        <v>1.5328823063326613E-2</v>
      </c>
      <c r="Q116" s="9">
        <v>-0.27184466019417475</v>
      </c>
      <c r="R116" s="13">
        <v>1.3537250151423486E-2</v>
      </c>
    </row>
    <row r="117" spans="1:18" x14ac:dyDescent="0.2">
      <c r="A117" s="5">
        <v>43616</v>
      </c>
      <c r="B117" s="12">
        <v>36663</v>
      </c>
      <c r="C117" s="12">
        <v>1133</v>
      </c>
      <c r="D117" s="12">
        <v>37796</v>
      </c>
      <c r="F117" s="5">
        <v>44347</v>
      </c>
      <c r="G117" s="12">
        <v>38092</v>
      </c>
      <c r="H117" s="12">
        <v>1811</v>
      </c>
      <c r="I117" s="12">
        <v>39903</v>
      </c>
      <c r="K117" s="5">
        <v>43619</v>
      </c>
      <c r="L117" s="5">
        <v>44347</v>
      </c>
      <c r="M117" s="12">
        <f t="shared" ref="M117:O117" si="4">G117-B120</f>
        <v>685</v>
      </c>
      <c r="N117" s="12">
        <f t="shared" si="4"/>
        <v>-37</v>
      </c>
      <c r="O117" s="12">
        <f t="shared" si="4"/>
        <v>648</v>
      </c>
      <c r="P117" s="9">
        <f t="shared" ref="P117:R117" si="5">G117/B120-1</f>
        <v>1.8312080626620597E-2</v>
      </c>
      <c r="Q117" s="9">
        <f t="shared" si="5"/>
        <v>-2.0021645021645051E-2</v>
      </c>
      <c r="R117" s="13">
        <f t="shared" si="5"/>
        <v>1.6507451280091789E-2</v>
      </c>
    </row>
    <row r="118" spans="1:18" x14ac:dyDescent="0.2">
      <c r="A118" s="5">
        <v>43617</v>
      </c>
      <c r="B118" s="12">
        <v>33957</v>
      </c>
      <c r="C118" s="12">
        <v>434</v>
      </c>
      <c r="D118" s="12">
        <v>34391</v>
      </c>
      <c r="F118" s="5"/>
      <c r="G118" s="12"/>
      <c r="H118" s="12"/>
      <c r="I118" s="12"/>
      <c r="K118" s="5"/>
      <c r="L118" s="5"/>
      <c r="M118" s="12"/>
      <c r="N118" s="12"/>
      <c r="O118" s="12"/>
      <c r="P118" s="9"/>
      <c r="Q118" s="9"/>
      <c r="R118" s="13"/>
    </row>
    <row r="119" spans="1:18" x14ac:dyDescent="0.2">
      <c r="A119" s="5">
        <v>43618</v>
      </c>
      <c r="B119" s="12">
        <v>32814</v>
      </c>
      <c r="C119" s="12">
        <v>206</v>
      </c>
      <c r="D119" s="12">
        <v>33020</v>
      </c>
      <c r="F119" s="5"/>
      <c r="G119" s="12"/>
      <c r="H119" s="12"/>
      <c r="I119" s="12"/>
      <c r="K119" s="5"/>
      <c r="L119" s="5"/>
      <c r="M119" s="12"/>
      <c r="N119" s="12"/>
      <c r="O119" s="12"/>
      <c r="P119" s="9"/>
      <c r="Q119" s="9"/>
      <c r="R119" s="13"/>
    </row>
    <row r="120" spans="1:18" x14ac:dyDescent="0.2">
      <c r="A120" s="5">
        <v>43619</v>
      </c>
      <c r="B120" s="12">
        <v>37407</v>
      </c>
      <c r="C120" s="12">
        <v>1848</v>
      </c>
      <c r="D120" s="12">
        <v>39255</v>
      </c>
    </row>
    <row r="121" spans="1:18" x14ac:dyDescent="0.2">
      <c r="A121" s="5"/>
      <c r="B121" s="12"/>
      <c r="C121" s="12"/>
      <c r="D121" s="12"/>
    </row>
  </sheetData>
  <mergeCells count="11">
    <mergeCell ref="K9:L10"/>
    <mergeCell ref="K47:L48"/>
    <mergeCell ref="K85:L86"/>
    <mergeCell ref="F9:F10"/>
    <mergeCell ref="F47:F48"/>
    <mergeCell ref="F85:F86"/>
    <mergeCell ref="A6:D6"/>
    <mergeCell ref="A7:C7"/>
    <mergeCell ref="A9:A10"/>
    <mergeCell ref="A47:A48"/>
    <mergeCell ref="A85:A86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R121"/>
  <sheetViews>
    <sheetView zoomScale="80" zoomScaleNormal="8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140625" customWidth="1"/>
    <col min="6" max="6" width="28.5703125" bestFit="1" customWidth="1"/>
    <col min="7" max="7" width="11.85546875" customWidth="1"/>
    <col min="8" max="8" width="7.42578125" bestFit="1" customWidth="1"/>
    <col min="9" max="9" width="15.85546875" bestFit="1" customWidth="1"/>
    <col min="10" max="10" width="0.85546875" customWidth="1"/>
    <col min="11" max="12" width="24.5703125" bestFit="1" customWidth="1"/>
    <col min="13" max="13" width="11.5703125" customWidth="1"/>
    <col min="14" max="14" width="6.28515625" bestFit="1" customWidth="1"/>
    <col min="15" max="15" width="15.85546875" bestFit="1" customWidth="1"/>
    <col min="16" max="16" width="11.5703125" customWidth="1"/>
    <col min="17" max="17" width="7" bestFit="1" customWidth="1"/>
    <col min="18" max="18" width="15.85546875" style="10" bestFit="1" customWidth="1"/>
  </cols>
  <sheetData>
    <row r="1" spans="1:18" ht="15.75" x14ac:dyDescent="0.25">
      <c r="A1" s="18" t="s">
        <v>55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4" t="s">
        <v>47</v>
      </c>
      <c r="B6" s="25"/>
      <c r="C6" s="25"/>
      <c r="D6" s="25"/>
      <c r="E6" s="17"/>
      <c r="F6" s="17"/>
      <c r="G6" s="17"/>
    </row>
    <row r="7" spans="1:18" ht="15" x14ac:dyDescent="0.2">
      <c r="A7" s="24" t="s">
        <v>48</v>
      </c>
      <c r="B7" s="25"/>
      <c r="C7" s="25"/>
    </row>
    <row r="9" spans="1:18" ht="12.95" customHeight="1" x14ac:dyDescent="0.2">
      <c r="A9" s="26" t="s">
        <v>1</v>
      </c>
      <c r="B9" s="6"/>
      <c r="C9" s="6"/>
      <c r="D9" s="3"/>
      <c r="F9" s="26" t="s">
        <v>1</v>
      </c>
      <c r="G9" s="6"/>
      <c r="H9" s="6"/>
      <c r="I9" s="3"/>
      <c r="K9" s="26" t="s">
        <v>3</v>
      </c>
      <c r="L9" s="26"/>
      <c r="M9" s="6"/>
      <c r="N9" s="6"/>
      <c r="O9" s="3"/>
      <c r="P9" s="6"/>
      <c r="Q9" s="6"/>
      <c r="R9" s="3"/>
    </row>
    <row r="10" spans="1:18" ht="25.5" x14ac:dyDescent="0.2">
      <c r="A10" s="27"/>
      <c r="B10" s="8" t="s">
        <v>38</v>
      </c>
      <c r="C10" s="4" t="s">
        <v>2</v>
      </c>
      <c r="D10" s="4" t="s">
        <v>0</v>
      </c>
      <c r="F10" s="27"/>
      <c r="G10" s="8" t="s">
        <v>38</v>
      </c>
      <c r="H10" s="4" t="s">
        <v>2</v>
      </c>
      <c r="I10" s="4" t="s">
        <v>0</v>
      </c>
      <c r="K10" s="27"/>
      <c r="L10" s="27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43586</v>
      </c>
      <c r="B11" s="12">
        <v>7056</v>
      </c>
      <c r="C11" s="12">
        <v>268</v>
      </c>
      <c r="D11" s="12">
        <v>7324</v>
      </c>
      <c r="F11" s="5">
        <v>44317</v>
      </c>
      <c r="G11" s="12">
        <v>4693</v>
      </c>
      <c r="H11" s="12">
        <v>43</v>
      </c>
      <c r="I11" s="12">
        <v>4736</v>
      </c>
      <c r="K11" s="5">
        <v>43589</v>
      </c>
      <c r="L11" s="5">
        <v>44317</v>
      </c>
      <c r="M11" s="12">
        <v>-4202</v>
      </c>
      <c r="N11" s="12">
        <v>-265</v>
      </c>
      <c r="O11" s="12">
        <v>-4467</v>
      </c>
      <c r="P11" s="9">
        <v>-0.47240022484541877</v>
      </c>
      <c r="Q11" s="9">
        <v>-0.86038961038961037</v>
      </c>
      <c r="R11" s="13">
        <v>-0.48538520047810496</v>
      </c>
    </row>
    <row r="12" spans="1:18" x14ac:dyDescent="0.2">
      <c r="A12" s="5">
        <v>43587</v>
      </c>
      <c r="B12" s="12">
        <v>5162</v>
      </c>
      <c r="C12" s="12">
        <v>601</v>
      </c>
      <c r="D12" s="12">
        <v>5763</v>
      </c>
      <c r="F12" s="5">
        <v>44318</v>
      </c>
      <c r="G12" s="12">
        <v>6333</v>
      </c>
      <c r="H12" s="12">
        <v>18</v>
      </c>
      <c r="I12" s="12">
        <v>6351</v>
      </c>
      <c r="K12" s="5">
        <v>43590</v>
      </c>
      <c r="L12" s="5">
        <v>44318</v>
      </c>
      <c r="M12" s="12">
        <v>-3328</v>
      </c>
      <c r="N12" s="12">
        <v>-143</v>
      </c>
      <c r="O12" s="12">
        <v>-3471</v>
      </c>
      <c r="P12" s="9">
        <v>-0.34447779732946904</v>
      </c>
      <c r="Q12" s="9">
        <v>-0.88819875776397517</v>
      </c>
      <c r="R12" s="13">
        <v>-0.35339034819792303</v>
      </c>
    </row>
    <row r="13" spans="1:18" x14ac:dyDescent="0.2">
      <c r="A13" s="5">
        <v>43588</v>
      </c>
      <c r="B13" s="12">
        <v>7180</v>
      </c>
      <c r="C13" s="12">
        <v>616</v>
      </c>
      <c r="D13" s="12">
        <v>7796</v>
      </c>
      <c r="F13" s="5">
        <v>44319</v>
      </c>
      <c r="G13" s="12">
        <v>4216</v>
      </c>
      <c r="H13" s="12">
        <v>561</v>
      </c>
      <c r="I13" s="12">
        <v>4777</v>
      </c>
      <c r="K13" s="5">
        <v>43591</v>
      </c>
      <c r="L13" s="5">
        <v>44319</v>
      </c>
      <c r="M13" s="12">
        <v>-402</v>
      </c>
      <c r="N13" s="12">
        <v>-43</v>
      </c>
      <c r="O13" s="12">
        <v>-445</v>
      </c>
      <c r="P13" s="9">
        <v>-8.7050671286271086E-2</v>
      </c>
      <c r="Q13" s="9">
        <v>-7.1192052980132425E-2</v>
      </c>
      <c r="R13" s="13">
        <v>-8.5216392186901579E-2</v>
      </c>
    </row>
    <row r="14" spans="1:18" x14ac:dyDescent="0.2">
      <c r="A14" s="5">
        <v>43589</v>
      </c>
      <c r="B14" s="12">
        <v>8895</v>
      </c>
      <c r="C14" s="12">
        <v>308</v>
      </c>
      <c r="D14" s="12">
        <v>9203</v>
      </c>
      <c r="F14" s="5">
        <v>44320</v>
      </c>
      <c r="G14" s="12">
        <v>3145</v>
      </c>
      <c r="H14" s="12">
        <v>621</v>
      </c>
      <c r="I14" s="12">
        <v>3766</v>
      </c>
      <c r="K14" s="5">
        <v>43592</v>
      </c>
      <c r="L14" s="5">
        <v>44320</v>
      </c>
      <c r="M14" s="12">
        <v>-727</v>
      </c>
      <c r="N14" s="12">
        <v>-76</v>
      </c>
      <c r="O14" s="12">
        <v>-803</v>
      </c>
      <c r="P14" s="9">
        <v>-0.18775826446280997</v>
      </c>
      <c r="Q14" s="9">
        <v>-0.10903873744619796</v>
      </c>
      <c r="R14" s="13">
        <v>-0.17574961698402281</v>
      </c>
    </row>
    <row r="15" spans="1:18" x14ac:dyDescent="0.2">
      <c r="A15" s="5">
        <v>43590</v>
      </c>
      <c r="B15" s="12">
        <v>9661</v>
      </c>
      <c r="C15" s="12">
        <v>161</v>
      </c>
      <c r="D15" s="12">
        <v>9822</v>
      </c>
      <c r="F15" s="5">
        <v>44321</v>
      </c>
      <c r="G15" s="12">
        <v>3356</v>
      </c>
      <c r="H15" s="12">
        <v>603</v>
      </c>
      <c r="I15" s="12">
        <v>3959</v>
      </c>
      <c r="K15" s="5">
        <v>43593</v>
      </c>
      <c r="L15" s="5">
        <v>44321</v>
      </c>
      <c r="M15" s="12">
        <v>-229</v>
      </c>
      <c r="N15" s="12">
        <v>-25</v>
      </c>
      <c r="O15" s="12">
        <v>-254</v>
      </c>
      <c r="P15" s="9">
        <v>-6.3877266387726617E-2</v>
      </c>
      <c r="Q15" s="9">
        <v>-3.9808917197452276E-2</v>
      </c>
      <c r="R15" s="13">
        <v>-6.0289579871825261E-2</v>
      </c>
    </row>
    <row r="16" spans="1:18" x14ac:dyDescent="0.2">
      <c r="A16" s="5">
        <v>43591</v>
      </c>
      <c r="B16" s="12">
        <v>4618</v>
      </c>
      <c r="C16" s="12">
        <v>604</v>
      </c>
      <c r="D16" s="12">
        <v>5222</v>
      </c>
      <c r="F16" s="5">
        <v>44322</v>
      </c>
      <c r="G16" s="12">
        <v>3789</v>
      </c>
      <c r="H16" s="12">
        <v>650</v>
      </c>
      <c r="I16" s="12">
        <v>4439</v>
      </c>
      <c r="K16" s="5">
        <v>43594</v>
      </c>
      <c r="L16" s="5">
        <v>44322</v>
      </c>
      <c r="M16" s="12">
        <v>-727</v>
      </c>
      <c r="N16" s="12">
        <v>23</v>
      </c>
      <c r="O16" s="12">
        <v>-704</v>
      </c>
      <c r="P16" s="9">
        <v>-0.16098317094774139</v>
      </c>
      <c r="Q16" s="9">
        <v>3.6682615629983983E-2</v>
      </c>
      <c r="R16" s="13">
        <v>-0.13688508652537434</v>
      </c>
    </row>
    <row r="17" spans="1:18" x14ac:dyDescent="0.2">
      <c r="A17" s="5">
        <v>43592</v>
      </c>
      <c r="B17" s="12">
        <v>3872</v>
      </c>
      <c r="C17" s="12">
        <v>697</v>
      </c>
      <c r="D17" s="12">
        <v>4569</v>
      </c>
      <c r="F17" s="5">
        <v>44323</v>
      </c>
      <c r="G17" s="12">
        <v>6252</v>
      </c>
      <c r="H17" s="12">
        <v>540</v>
      </c>
      <c r="I17" s="12">
        <v>6792</v>
      </c>
      <c r="K17" s="5">
        <v>43595</v>
      </c>
      <c r="L17" s="5">
        <v>44323</v>
      </c>
      <c r="M17" s="12">
        <v>-878</v>
      </c>
      <c r="N17" s="12">
        <v>-11</v>
      </c>
      <c r="O17" s="12">
        <v>-889</v>
      </c>
      <c r="P17" s="9">
        <v>-0.12314165497896212</v>
      </c>
      <c r="Q17" s="9">
        <v>-1.9963702359346636E-2</v>
      </c>
      <c r="R17" s="13">
        <v>-0.1157401380028642</v>
      </c>
    </row>
    <row r="18" spans="1:18" x14ac:dyDescent="0.2">
      <c r="A18" s="5">
        <v>43593</v>
      </c>
      <c r="B18" s="12">
        <v>3585</v>
      </c>
      <c r="C18" s="12">
        <v>628</v>
      </c>
      <c r="D18" s="12">
        <v>4213</v>
      </c>
      <c r="F18" s="5">
        <v>44324</v>
      </c>
      <c r="G18" s="12">
        <v>5880</v>
      </c>
      <c r="H18" s="12">
        <v>148</v>
      </c>
      <c r="I18" s="12">
        <v>6028</v>
      </c>
      <c r="K18" s="5">
        <v>43596</v>
      </c>
      <c r="L18" s="5">
        <v>44324</v>
      </c>
      <c r="M18" s="12">
        <v>-580</v>
      </c>
      <c r="N18" s="12">
        <v>-110</v>
      </c>
      <c r="O18" s="12">
        <v>-690</v>
      </c>
      <c r="P18" s="9">
        <v>-8.9783281733746167E-2</v>
      </c>
      <c r="Q18" s="9">
        <v>-0.4263565891472868</v>
      </c>
      <c r="R18" s="13">
        <v>-0.10270913962488837</v>
      </c>
    </row>
    <row r="19" spans="1:18" x14ac:dyDescent="0.2">
      <c r="A19" s="5">
        <v>43594</v>
      </c>
      <c r="B19" s="12">
        <v>4516</v>
      </c>
      <c r="C19" s="12">
        <v>627</v>
      </c>
      <c r="D19" s="12">
        <v>5143</v>
      </c>
      <c r="F19" s="5">
        <v>44325</v>
      </c>
      <c r="G19" s="12">
        <v>6496</v>
      </c>
      <c r="H19" s="12">
        <v>30</v>
      </c>
      <c r="I19" s="12">
        <v>6526</v>
      </c>
      <c r="K19" s="5">
        <v>43597</v>
      </c>
      <c r="L19" s="5">
        <v>44325</v>
      </c>
      <c r="M19" s="12">
        <v>-2493</v>
      </c>
      <c r="N19" s="12">
        <v>-114</v>
      </c>
      <c r="O19" s="12">
        <v>-2607</v>
      </c>
      <c r="P19" s="9">
        <v>-0.27733896985204143</v>
      </c>
      <c r="Q19" s="9">
        <v>-0.79166666666666663</v>
      </c>
      <c r="R19" s="13">
        <v>-0.28544837402824919</v>
      </c>
    </row>
    <row r="20" spans="1:18" x14ac:dyDescent="0.2">
      <c r="A20" s="5">
        <v>43595</v>
      </c>
      <c r="B20" s="12">
        <v>7130</v>
      </c>
      <c r="C20" s="12">
        <v>551</v>
      </c>
      <c r="D20" s="12">
        <v>7681</v>
      </c>
      <c r="F20" s="5">
        <v>44326</v>
      </c>
      <c r="G20" s="12">
        <v>3301</v>
      </c>
      <c r="H20" s="12">
        <v>513</v>
      </c>
      <c r="I20" s="12">
        <v>3814</v>
      </c>
      <c r="K20" s="5">
        <v>43598</v>
      </c>
      <c r="L20" s="5">
        <v>44326</v>
      </c>
      <c r="M20" s="12">
        <v>-1693</v>
      </c>
      <c r="N20" s="12">
        <v>-82</v>
      </c>
      <c r="O20" s="12">
        <v>-1775</v>
      </c>
      <c r="P20" s="9">
        <v>-0.33900680816980377</v>
      </c>
      <c r="Q20" s="9">
        <v>-0.13781512605042012</v>
      </c>
      <c r="R20" s="13">
        <v>-0.31758811952048671</v>
      </c>
    </row>
    <row r="21" spans="1:18" x14ac:dyDescent="0.2">
      <c r="A21" s="5">
        <v>43596</v>
      </c>
      <c r="B21" s="12">
        <v>6460</v>
      </c>
      <c r="C21" s="12">
        <v>258</v>
      </c>
      <c r="D21" s="12">
        <v>6718</v>
      </c>
      <c r="F21" s="5">
        <v>44327</v>
      </c>
      <c r="G21" s="12">
        <v>3105</v>
      </c>
      <c r="H21" s="12">
        <v>659</v>
      </c>
      <c r="I21" s="12">
        <v>3764</v>
      </c>
      <c r="K21" s="5">
        <v>43599</v>
      </c>
      <c r="L21" s="5">
        <v>44327</v>
      </c>
      <c r="M21" s="12">
        <v>-945</v>
      </c>
      <c r="N21" s="12">
        <v>-17</v>
      </c>
      <c r="O21" s="12">
        <v>-962</v>
      </c>
      <c r="P21" s="9">
        <v>-0.23333333333333328</v>
      </c>
      <c r="Q21" s="9">
        <v>-2.5147928994082802E-2</v>
      </c>
      <c r="R21" s="13">
        <v>-0.20355480321625052</v>
      </c>
    </row>
    <row r="22" spans="1:18" x14ac:dyDescent="0.2">
      <c r="A22" s="5">
        <v>43597</v>
      </c>
      <c r="B22" s="12">
        <v>8989</v>
      </c>
      <c r="C22" s="12">
        <v>144</v>
      </c>
      <c r="D22" s="12">
        <v>9133</v>
      </c>
      <c r="F22" s="5">
        <v>44328</v>
      </c>
      <c r="G22" s="12">
        <v>10148</v>
      </c>
      <c r="H22" s="12">
        <v>754</v>
      </c>
      <c r="I22" s="12">
        <v>10902</v>
      </c>
      <c r="K22" s="5">
        <v>43600</v>
      </c>
      <c r="L22" s="5">
        <v>44328</v>
      </c>
      <c r="M22" s="12">
        <v>5808</v>
      </c>
      <c r="N22" s="12">
        <v>43</v>
      </c>
      <c r="O22" s="12">
        <v>5851</v>
      </c>
      <c r="P22" s="9">
        <v>1.3382488479262671</v>
      </c>
      <c r="Q22" s="9">
        <v>6.0478199718706049E-2</v>
      </c>
      <c r="R22" s="13">
        <v>1.1583844783211243</v>
      </c>
    </row>
    <row r="23" spans="1:18" x14ac:dyDescent="0.2">
      <c r="A23" s="5">
        <v>43598</v>
      </c>
      <c r="B23" s="12">
        <v>4994</v>
      </c>
      <c r="C23" s="12">
        <v>595</v>
      </c>
      <c r="D23" s="12">
        <v>5589</v>
      </c>
      <c r="F23" s="5">
        <v>44329</v>
      </c>
      <c r="G23" s="12">
        <v>8716</v>
      </c>
      <c r="H23" s="12">
        <v>32</v>
      </c>
      <c r="I23" s="12">
        <v>8748</v>
      </c>
      <c r="K23" s="5">
        <v>43601</v>
      </c>
      <c r="L23" s="5">
        <v>44329</v>
      </c>
      <c r="M23" s="12">
        <v>3852</v>
      </c>
      <c r="N23" s="12">
        <v>-607</v>
      </c>
      <c r="O23" s="12">
        <v>3245</v>
      </c>
      <c r="P23" s="9">
        <v>0.79194078947368429</v>
      </c>
      <c r="Q23" s="9">
        <v>-0.94992175273865409</v>
      </c>
      <c r="R23" s="13">
        <v>0.58967835725967643</v>
      </c>
    </row>
    <row r="24" spans="1:18" x14ac:dyDescent="0.2">
      <c r="A24" s="5">
        <v>43599</v>
      </c>
      <c r="B24" s="12">
        <v>4050</v>
      </c>
      <c r="C24" s="12">
        <v>676</v>
      </c>
      <c r="D24" s="12">
        <v>4726</v>
      </c>
      <c r="F24" s="5">
        <v>44330</v>
      </c>
      <c r="G24" s="12">
        <v>5210</v>
      </c>
      <c r="H24" s="12">
        <v>507</v>
      </c>
      <c r="I24" s="12">
        <v>5717</v>
      </c>
      <c r="K24" s="5">
        <v>43602</v>
      </c>
      <c r="L24" s="5">
        <v>44330</v>
      </c>
      <c r="M24" s="12">
        <v>-1807</v>
      </c>
      <c r="N24" s="12">
        <v>-52</v>
      </c>
      <c r="O24" s="12">
        <v>-1859</v>
      </c>
      <c r="P24" s="9">
        <v>-0.25751745760296418</v>
      </c>
      <c r="Q24" s="9">
        <v>-9.3023255813953543E-2</v>
      </c>
      <c r="R24" s="13">
        <v>-0.24538014783526929</v>
      </c>
    </row>
    <row r="25" spans="1:18" x14ac:dyDescent="0.2">
      <c r="A25" s="5">
        <v>43600</v>
      </c>
      <c r="B25" s="12">
        <v>4340</v>
      </c>
      <c r="C25" s="12">
        <v>711</v>
      </c>
      <c r="D25" s="12">
        <v>5051</v>
      </c>
      <c r="F25" s="5">
        <v>44331</v>
      </c>
      <c r="G25" s="12">
        <v>6533</v>
      </c>
      <c r="H25" s="12">
        <v>144</v>
      </c>
      <c r="I25" s="12">
        <v>6677</v>
      </c>
      <c r="K25" s="5">
        <v>43603</v>
      </c>
      <c r="L25" s="5">
        <v>44331</v>
      </c>
      <c r="M25" s="12">
        <v>497</v>
      </c>
      <c r="N25" s="12">
        <v>-93</v>
      </c>
      <c r="O25" s="12">
        <v>404</v>
      </c>
      <c r="P25" s="9">
        <v>8.2339297548045032E-2</v>
      </c>
      <c r="Q25" s="9">
        <v>-0.39240506329113922</v>
      </c>
      <c r="R25" s="13">
        <v>6.4402996971146154E-2</v>
      </c>
    </row>
    <row r="26" spans="1:18" x14ac:dyDescent="0.2">
      <c r="A26" s="5">
        <v>43601</v>
      </c>
      <c r="B26" s="12">
        <v>4864</v>
      </c>
      <c r="C26" s="12">
        <v>639</v>
      </c>
      <c r="D26" s="12">
        <v>5503</v>
      </c>
      <c r="F26" s="5">
        <v>44332</v>
      </c>
      <c r="G26" s="12">
        <v>13284</v>
      </c>
      <c r="H26" s="12">
        <v>33</v>
      </c>
      <c r="I26" s="12">
        <v>13317</v>
      </c>
      <c r="K26" s="5">
        <v>43604</v>
      </c>
      <c r="L26" s="5">
        <v>44332</v>
      </c>
      <c r="M26" s="12">
        <v>6454</v>
      </c>
      <c r="N26" s="12">
        <v>-66</v>
      </c>
      <c r="O26" s="12">
        <v>6388</v>
      </c>
      <c r="P26" s="9">
        <v>0.94494875549048318</v>
      </c>
      <c r="Q26" s="9">
        <v>-0.66666666666666674</v>
      </c>
      <c r="R26" s="13">
        <v>0.92192235531822764</v>
      </c>
    </row>
    <row r="27" spans="1:18" x14ac:dyDescent="0.2">
      <c r="A27" s="5">
        <v>43602</v>
      </c>
      <c r="B27" s="12">
        <v>7017</v>
      </c>
      <c r="C27" s="12">
        <v>559</v>
      </c>
      <c r="D27" s="12">
        <v>7576</v>
      </c>
      <c r="F27" s="5">
        <v>44333</v>
      </c>
      <c r="G27" s="12">
        <v>6043</v>
      </c>
      <c r="H27" s="12">
        <v>585</v>
      </c>
      <c r="I27" s="12">
        <v>6628</v>
      </c>
      <c r="K27" s="5">
        <v>43605</v>
      </c>
      <c r="L27" s="5">
        <v>44333</v>
      </c>
      <c r="M27" s="12">
        <v>1691</v>
      </c>
      <c r="N27" s="12">
        <v>-13</v>
      </c>
      <c r="O27" s="12">
        <v>1678</v>
      </c>
      <c r="P27" s="9">
        <v>0.38855698529411775</v>
      </c>
      <c r="Q27" s="9">
        <v>-2.1739130434782594E-2</v>
      </c>
      <c r="R27" s="13">
        <v>0.33898989898989895</v>
      </c>
    </row>
    <row r="28" spans="1:18" x14ac:dyDescent="0.2">
      <c r="A28" s="5">
        <v>43603</v>
      </c>
      <c r="B28" s="12">
        <v>6036</v>
      </c>
      <c r="C28" s="12">
        <v>237</v>
      </c>
      <c r="D28" s="12">
        <v>6273</v>
      </c>
      <c r="F28" s="5">
        <v>44334</v>
      </c>
      <c r="G28" s="12">
        <v>4623</v>
      </c>
      <c r="H28" s="12">
        <v>693</v>
      </c>
      <c r="I28" s="12">
        <v>5316</v>
      </c>
      <c r="K28" s="5">
        <v>43606</v>
      </c>
      <c r="L28" s="5">
        <v>44334</v>
      </c>
      <c r="M28" s="12">
        <v>706</v>
      </c>
      <c r="N28" s="12">
        <v>31</v>
      </c>
      <c r="O28" s="12">
        <v>737</v>
      </c>
      <c r="P28" s="9">
        <v>0.18023997957620619</v>
      </c>
      <c r="Q28" s="9">
        <v>4.6827794561933533E-2</v>
      </c>
      <c r="R28" s="13">
        <v>0.16095217296352926</v>
      </c>
    </row>
    <row r="29" spans="1:18" x14ac:dyDescent="0.2">
      <c r="A29" s="5">
        <v>43604</v>
      </c>
      <c r="B29" s="12">
        <v>6830</v>
      </c>
      <c r="C29" s="12">
        <v>99</v>
      </c>
      <c r="D29" s="12">
        <v>6929</v>
      </c>
      <c r="F29" s="5">
        <v>44335</v>
      </c>
      <c r="G29" s="12">
        <v>4673</v>
      </c>
      <c r="H29" s="12">
        <v>604</v>
      </c>
      <c r="I29" s="12">
        <v>5277</v>
      </c>
      <c r="K29" s="5">
        <v>43607</v>
      </c>
      <c r="L29" s="5">
        <v>44335</v>
      </c>
      <c r="M29" s="12">
        <v>390</v>
      </c>
      <c r="N29" s="12">
        <v>-44</v>
      </c>
      <c r="O29" s="12">
        <v>346</v>
      </c>
      <c r="P29" s="9">
        <v>9.1057669857576462E-2</v>
      </c>
      <c r="Q29" s="9">
        <v>-6.7901234567901203E-2</v>
      </c>
      <c r="R29" s="13">
        <v>7.0168322855404641E-2</v>
      </c>
    </row>
    <row r="30" spans="1:18" x14ac:dyDescent="0.2">
      <c r="A30" s="5">
        <v>43605</v>
      </c>
      <c r="B30" s="12">
        <v>4352</v>
      </c>
      <c r="C30" s="12">
        <v>598</v>
      </c>
      <c r="D30" s="12">
        <v>4950</v>
      </c>
      <c r="F30" s="5">
        <v>44336</v>
      </c>
      <c r="G30" s="12">
        <v>6433</v>
      </c>
      <c r="H30" s="12">
        <v>631</v>
      </c>
      <c r="I30" s="12">
        <v>7064</v>
      </c>
      <c r="K30" s="5">
        <v>43608</v>
      </c>
      <c r="L30" s="5">
        <v>44336</v>
      </c>
      <c r="M30" s="12">
        <v>1385</v>
      </c>
      <c r="N30" s="12">
        <v>-34</v>
      </c>
      <c r="O30" s="12">
        <v>1351</v>
      </c>
      <c r="P30" s="9">
        <v>0.27436608557844688</v>
      </c>
      <c r="Q30" s="9">
        <v>-5.1127819548872133E-2</v>
      </c>
      <c r="R30" s="13">
        <v>0.23647820759670934</v>
      </c>
    </row>
    <row r="31" spans="1:18" x14ac:dyDescent="0.2">
      <c r="A31" s="5">
        <v>43606</v>
      </c>
      <c r="B31" s="12">
        <v>3917</v>
      </c>
      <c r="C31" s="12">
        <v>662</v>
      </c>
      <c r="D31" s="12">
        <v>4579</v>
      </c>
      <c r="F31" s="5">
        <v>44337</v>
      </c>
      <c r="G31" s="12">
        <v>11109</v>
      </c>
      <c r="H31" s="12">
        <v>586</v>
      </c>
      <c r="I31" s="12">
        <v>11695</v>
      </c>
      <c r="K31" s="5">
        <v>43609</v>
      </c>
      <c r="L31" s="5">
        <v>44337</v>
      </c>
      <c r="M31" s="12">
        <v>3173</v>
      </c>
      <c r="N31" s="12">
        <v>-36</v>
      </c>
      <c r="O31" s="12">
        <v>3137</v>
      </c>
      <c r="P31" s="9">
        <v>0.39982358870967749</v>
      </c>
      <c r="Q31" s="9">
        <v>-5.7877813504823128E-2</v>
      </c>
      <c r="R31" s="13">
        <v>0.36655760691750405</v>
      </c>
    </row>
    <row r="32" spans="1:18" x14ac:dyDescent="0.2">
      <c r="A32" s="5">
        <v>43607</v>
      </c>
      <c r="B32" s="12">
        <v>4283</v>
      </c>
      <c r="C32" s="12">
        <v>648</v>
      </c>
      <c r="D32" s="12">
        <v>4931</v>
      </c>
      <c r="F32" s="5">
        <v>44338</v>
      </c>
      <c r="G32" s="12">
        <v>11953</v>
      </c>
      <c r="H32" s="12">
        <v>204</v>
      </c>
      <c r="I32" s="12">
        <v>12157</v>
      </c>
      <c r="K32" s="5">
        <v>43610</v>
      </c>
      <c r="L32" s="5">
        <v>44338</v>
      </c>
      <c r="M32" s="12">
        <v>3453</v>
      </c>
      <c r="N32" s="12">
        <v>-57</v>
      </c>
      <c r="O32" s="12">
        <v>3396</v>
      </c>
      <c r="P32" s="9">
        <v>0.40623529411764703</v>
      </c>
      <c r="Q32" s="9">
        <v>-0.2183908045977011</v>
      </c>
      <c r="R32" s="13">
        <v>0.38762698322109346</v>
      </c>
    </row>
    <row r="33" spans="1:18" x14ac:dyDescent="0.2">
      <c r="A33" s="5">
        <v>43608</v>
      </c>
      <c r="B33" s="12">
        <v>5048</v>
      </c>
      <c r="C33" s="12">
        <v>665</v>
      </c>
      <c r="D33" s="12">
        <v>5713</v>
      </c>
      <c r="F33" s="5">
        <v>44339</v>
      </c>
      <c r="G33" s="12">
        <v>8985</v>
      </c>
      <c r="H33" s="12">
        <v>18</v>
      </c>
      <c r="I33" s="12">
        <v>9003</v>
      </c>
      <c r="K33" s="5">
        <v>43611</v>
      </c>
      <c r="L33" s="5">
        <v>44339</v>
      </c>
      <c r="M33" s="12">
        <v>207</v>
      </c>
      <c r="N33" s="12">
        <v>-158</v>
      </c>
      <c r="O33" s="12">
        <v>49</v>
      </c>
      <c r="P33" s="9">
        <v>2.3581681476418259E-2</v>
      </c>
      <c r="Q33" s="9">
        <v>-0.89772727272727271</v>
      </c>
      <c r="R33" s="13">
        <v>5.472414563323591E-3</v>
      </c>
    </row>
    <row r="34" spans="1:18" x14ac:dyDescent="0.2">
      <c r="A34" s="5">
        <v>43609</v>
      </c>
      <c r="B34" s="12">
        <v>7936</v>
      </c>
      <c r="C34" s="12">
        <v>622</v>
      </c>
      <c r="D34" s="12">
        <v>8558</v>
      </c>
      <c r="F34" s="5">
        <v>44340</v>
      </c>
      <c r="G34" s="12">
        <v>12593</v>
      </c>
      <c r="H34" s="12">
        <v>85</v>
      </c>
      <c r="I34" s="12">
        <v>12678</v>
      </c>
      <c r="K34" s="5">
        <v>43612</v>
      </c>
      <c r="L34" s="5">
        <v>44340</v>
      </c>
      <c r="M34" s="12">
        <v>7420</v>
      </c>
      <c r="N34" s="12">
        <v>-489</v>
      </c>
      <c r="O34" s="12">
        <v>6931</v>
      </c>
      <c r="P34" s="9">
        <v>1.4343707713125844</v>
      </c>
      <c r="Q34" s="9">
        <v>-0.8519163763066202</v>
      </c>
      <c r="R34" s="13">
        <v>1.2060205324517139</v>
      </c>
    </row>
    <row r="35" spans="1:18" x14ac:dyDescent="0.2">
      <c r="A35" s="5">
        <v>43610</v>
      </c>
      <c r="B35" s="12">
        <v>8500</v>
      </c>
      <c r="C35" s="12">
        <v>261</v>
      </c>
      <c r="D35" s="12">
        <v>8761</v>
      </c>
      <c r="F35" s="5">
        <v>44341</v>
      </c>
      <c r="G35" s="12">
        <v>5346</v>
      </c>
      <c r="H35" s="12">
        <v>604</v>
      </c>
      <c r="I35" s="12">
        <v>5950</v>
      </c>
      <c r="K35" s="5">
        <v>43613</v>
      </c>
      <c r="L35" s="5">
        <v>44341</v>
      </c>
      <c r="M35" s="12">
        <v>-119</v>
      </c>
      <c r="N35" s="12">
        <v>-217</v>
      </c>
      <c r="O35" s="12">
        <v>-336</v>
      </c>
      <c r="P35" s="9">
        <v>-2.1774931381518758E-2</v>
      </c>
      <c r="Q35" s="9">
        <v>-0.26431181485992694</v>
      </c>
      <c r="R35" s="13">
        <v>-5.3452115812917644E-2</v>
      </c>
    </row>
    <row r="36" spans="1:18" x14ac:dyDescent="0.2">
      <c r="A36" s="5">
        <v>43611</v>
      </c>
      <c r="B36" s="12">
        <v>8778</v>
      </c>
      <c r="C36" s="12">
        <v>176</v>
      </c>
      <c r="D36" s="12">
        <v>8954</v>
      </c>
      <c r="F36" s="5">
        <v>44342</v>
      </c>
      <c r="G36" s="12">
        <v>4770</v>
      </c>
      <c r="H36" s="12">
        <v>647</v>
      </c>
      <c r="I36" s="12">
        <v>5417</v>
      </c>
      <c r="K36" s="5">
        <v>43614</v>
      </c>
      <c r="L36" s="5">
        <v>44342</v>
      </c>
      <c r="M36" s="12">
        <v>-8865</v>
      </c>
      <c r="N36" s="12">
        <v>-251</v>
      </c>
      <c r="O36" s="12">
        <v>-9116</v>
      </c>
      <c r="P36" s="9">
        <v>-0.65016501650165015</v>
      </c>
      <c r="Q36" s="9">
        <v>-0.27951002227171495</v>
      </c>
      <c r="R36" s="13">
        <v>-0.62726209316727455</v>
      </c>
    </row>
    <row r="37" spans="1:18" x14ac:dyDescent="0.2">
      <c r="A37" s="5">
        <v>43612</v>
      </c>
      <c r="B37" s="12">
        <v>5173</v>
      </c>
      <c r="C37" s="12">
        <v>574</v>
      </c>
      <c r="D37" s="12">
        <v>5747</v>
      </c>
      <c r="F37" s="5">
        <v>44343</v>
      </c>
      <c r="G37" s="12">
        <v>5216</v>
      </c>
      <c r="H37" s="12">
        <v>695</v>
      </c>
      <c r="I37" s="12">
        <v>5911</v>
      </c>
      <c r="K37" s="5">
        <v>43615</v>
      </c>
      <c r="L37" s="5">
        <v>44343</v>
      </c>
      <c r="M37" s="12">
        <v>-8563</v>
      </c>
      <c r="N37" s="12">
        <v>504</v>
      </c>
      <c r="O37" s="12">
        <v>-8059</v>
      </c>
      <c r="P37" s="9">
        <v>-0.62145293562667825</v>
      </c>
      <c r="Q37" s="9">
        <v>2.6387434554973823</v>
      </c>
      <c r="R37" s="13">
        <v>-0.57687902648532563</v>
      </c>
    </row>
    <row r="38" spans="1:18" x14ac:dyDescent="0.2">
      <c r="A38" s="5">
        <v>43613</v>
      </c>
      <c r="B38" s="12">
        <v>5465</v>
      </c>
      <c r="C38" s="12">
        <v>821</v>
      </c>
      <c r="D38" s="12">
        <v>6286</v>
      </c>
      <c r="F38" s="5">
        <v>44344</v>
      </c>
      <c r="G38" s="12">
        <v>8514</v>
      </c>
      <c r="H38" s="12">
        <v>581</v>
      </c>
      <c r="I38" s="12">
        <v>9095</v>
      </c>
      <c r="K38" s="5">
        <v>43616</v>
      </c>
      <c r="L38" s="5">
        <v>44344</v>
      </c>
      <c r="M38" s="12">
        <v>1090</v>
      </c>
      <c r="N38" s="12">
        <v>31</v>
      </c>
      <c r="O38" s="12">
        <v>1121</v>
      </c>
      <c r="P38" s="9">
        <v>0.14682112068965525</v>
      </c>
      <c r="Q38" s="9">
        <v>5.6363636363636394E-2</v>
      </c>
      <c r="R38" s="13">
        <v>0.14058189114622532</v>
      </c>
    </row>
    <row r="39" spans="1:18" x14ac:dyDescent="0.2">
      <c r="A39" s="5">
        <v>43614</v>
      </c>
      <c r="B39" s="12">
        <v>13635</v>
      </c>
      <c r="C39" s="12">
        <v>898</v>
      </c>
      <c r="D39" s="12">
        <v>14533</v>
      </c>
      <c r="F39" s="5">
        <v>44345</v>
      </c>
      <c r="G39" s="12">
        <v>10780</v>
      </c>
      <c r="H39" s="12">
        <v>186</v>
      </c>
      <c r="I39" s="12">
        <v>10966</v>
      </c>
      <c r="K39" s="5">
        <v>43617</v>
      </c>
      <c r="L39" s="5">
        <v>44345</v>
      </c>
      <c r="M39" s="12">
        <v>-1565</v>
      </c>
      <c r="N39" s="12">
        <v>-86</v>
      </c>
      <c r="O39" s="12">
        <v>-1651</v>
      </c>
      <c r="P39" s="9">
        <v>-0.12677197245848526</v>
      </c>
      <c r="Q39" s="9">
        <v>-0.31617647058823528</v>
      </c>
      <c r="R39" s="13">
        <v>-0.1308551953713244</v>
      </c>
    </row>
    <row r="40" spans="1:18" x14ac:dyDescent="0.2">
      <c r="A40" s="5">
        <v>43615</v>
      </c>
      <c r="B40" s="12">
        <v>13779</v>
      </c>
      <c r="C40" s="12">
        <v>191</v>
      </c>
      <c r="D40" s="12">
        <v>13970</v>
      </c>
      <c r="F40" s="5">
        <v>44346</v>
      </c>
      <c r="G40" s="12">
        <v>10469</v>
      </c>
      <c r="H40" s="12">
        <v>30</v>
      </c>
      <c r="I40" s="12">
        <v>10499</v>
      </c>
      <c r="K40" s="5">
        <v>43618</v>
      </c>
      <c r="L40" s="5">
        <v>44346</v>
      </c>
      <c r="M40" s="12">
        <v>-7412</v>
      </c>
      <c r="N40" s="12">
        <v>-225</v>
      </c>
      <c r="O40" s="12">
        <v>-7637</v>
      </c>
      <c r="P40" s="9">
        <v>-0.41451820367988368</v>
      </c>
      <c r="Q40" s="9">
        <v>-0.88235294117647056</v>
      </c>
      <c r="R40" s="13">
        <v>-0.42109616232906921</v>
      </c>
    </row>
    <row r="41" spans="1:18" x14ac:dyDescent="0.2">
      <c r="A41" s="5">
        <v>43616</v>
      </c>
      <c r="B41" s="12">
        <v>7424</v>
      </c>
      <c r="C41" s="12">
        <v>550</v>
      </c>
      <c r="D41" s="12">
        <v>7974</v>
      </c>
      <c r="F41" s="5">
        <v>44347</v>
      </c>
      <c r="G41" s="12">
        <v>4682</v>
      </c>
      <c r="H41" s="12">
        <v>558</v>
      </c>
      <c r="I41" s="12">
        <v>5240</v>
      </c>
      <c r="K41" s="5">
        <v>43619</v>
      </c>
      <c r="L41" s="5">
        <v>44347</v>
      </c>
      <c r="M41" s="12">
        <f t="shared" ref="M41:O41" si="0">G41-B44</f>
        <v>-2884</v>
      </c>
      <c r="N41" s="12">
        <f t="shared" si="0"/>
        <v>-93</v>
      </c>
      <c r="O41" s="12">
        <f t="shared" si="0"/>
        <v>-2977</v>
      </c>
      <c r="P41" s="9">
        <f t="shared" ref="P41:R41" si="1">G41/B44-1</f>
        <v>-0.38117895849854611</v>
      </c>
      <c r="Q41" s="9">
        <f t="shared" si="1"/>
        <v>-0.1428571428571429</v>
      </c>
      <c r="R41" s="13">
        <f t="shared" si="1"/>
        <v>-0.36229767555068759</v>
      </c>
    </row>
    <row r="42" spans="1:18" x14ac:dyDescent="0.2">
      <c r="A42" s="5">
        <v>43617</v>
      </c>
      <c r="B42" s="12">
        <v>12345</v>
      </c>
      <c r="C42" s="12">
        <v>272</v>
      </c>
      <c r="D42" s="12">
        <v>12617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">
      <c r="A43" s="5">
        <v>43618</v>
      </c>
      <c r="B43" s="12">
        <v>17881</v>
      </c>
      <c r="C43" s="12">
        <v>255</v>
      </c>
      <c r="D43" s="12">
        <v>18136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5">
        <v>43619</v>
      </c>
      <c r="B44" s="12">
        <v>7566</v>
      </c>
      <c r="C44" s="12">
        <v>651</v>
      </c>
      <c r="D44" s="12">
        <v>8217</v>
      </c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">
      <c r="A45" s="5"/>
      <c r="B45" s="12"/>
      <c r="C45" s="12"/>
      <c r="D45" s="12"/>
      <c r="F45" s="5"/>
      <c r="G45" s="12"/>
      <c r="H45" s="12"/>
      <c r="I45" s="12"/>
      <c r="K45" s="5"/>
      <c r="L45" s="5"/>
      <c r="M45" s="12"/>
      <c r="N45" s="12"/>
      <c r="O45" s="12"/>
      <c r="P45" s="9"/>
      <c r="Q45" s="9"/>
      <c r="R45" s="13"/>
    </row>
    <row r="46" spans="1:18" x14ac:dyDescent="0.2">
      <c r="A46" s="1"/>
      <c r="B46" s="2"/>
      <c r="C46" s="2"/>
      <c r="D46" s="2"/>
      <c r="F46" s="1"/>
      <c r="G46" s="2"/>
      <c r="H46" s="2"/>
      <c r="I46" s="2"/>
    </row>
    <row r="47" spans="1:18" ht="12.95" customHeight="1" x14ac:dyDescent="0.2">
      <c r="A47" s="26" t="s">
        <v>8</v>
      </c>
      <c r="B47" s="6"/>
      <c r="C47" s="6"/>
      <c r="D47" s="3"/>
      <c r="F47" s="26" t="s">
        <v>8</v>
      </c>
      <c r="G47" s="6"/>
      <c r="H47" s="6"/>
      <c r="I47" s="3"/>
      <c r="K47" s="26" t="s">
        <v>9</v>
      </c>
      <c r="L47" s="26"/>
      <c r="M47" s="6"/>
      <c r="N47" s="6"/>
      <c r="O47" s="3"/>
      <c r="P47" s="6"/>
      <c r="Q47" s="6"/>
      <c r="R47" s="3"/>
    </row>
    <row r="48" spans="1:18" ht="25.5" x14ac:dyDescent="0.2">
      <c r="A48" s="27"/>
      <c r="B48" s="8" t="s">
        <v>38</v>
      </c>
      <c r="C48" s="4" t="s">
        <v>2</v>
      </c>
      <c r="D48" s="4" t="s">
        <v>0</v>
      </c>
      <c r="F48" s="27"/>
      <c r="G48" s="8" t="s">
        <v>38</v>
      </c>
      <c r="H48" s="4" t="s">
        <v>2</v>
      </c>
      <c r="I48" s="4" t="s">
        <v>0</v>
      </c>
      <c r="K48" s="27"/>
      <c r="L48" s="27"/>
      <c r="M48" s="8" t="s">
        <v>38</v>
      </c>
      <c r="N48" s="4" t="s">
        <v>2</v>
      </c>
      <c r="O48" s="4" t="s">
        <v>0</v>
      </c>
      <c r="P48" s="8" t="s">
        <v>38</v>
      </c>
      <c r="Q48" s="4" t="s">
        <v>2</v>
      </c>
      <c r="R48" s="4" t="s">
        <v>0</v>
      </c>
    </row>
    <row r="49" spans="1:18" x14ac:dyDescent="0.2">
      <c r="A49" s="5">
        <v>43586</v>
      </c>
      <c r="B49" s="12">
        <v>3818</v>
      </c>
      <c r="C49" s="12">
        <v>160</v>
      </c>
      <c r="D49" s="12">
        <v>3978</v>
      </c>
      <c r="F49" s="5">
        <v>44317</v>
      </c>
      <c r="G49" s="12">
        <v>2813</v>
      </c>
      <c r="H49" s="12">
        <v>21</v>
      </c>
      <c r="I49" s="12">
        <v>2834</v>
      </c>
      <c r="K49" s="5">
        <v>43589</v>
      </c>
      <c r="L49" s="5">
        <v>44317</v>
      </c>
      <c r="M49" s="12">
        <v>-496</v>
      </c>
      <c r="N49" s="12">
        <v>-80</v>
      </c>
      <c r="O49" s="12">
        <v>-576</v>
      </c>
      <c r="P49" s="9">
        <v>-0.1498942278634029</v>
      </c>
      <c r="Q49" s="9">
        <v>-0.79207920792079212</v>
      </c>
      <c r="R49" s="13">
        <v>-0.16891495601173023</v>
      </c>
    </row>
    <row r="50" spans="1:18" x14ac:dyDescent="0.2">
      <c r="A50" s="5">
        <v>43587</v>
      </c>
      <c r="B50" s="12">
        <v>2358</v>
      </c>
      <c r="C50" s="12">
        <v>317</v>
      </c>
      <c r="D50" s="12">
        <v>2675</v>
      </c>
      <c r="F50" s="5">
        <v>44318</v>
      </c>
      <c r="G50" s="12">
        <v>3346</v>
      </c>
      <c r="H50" s="12">
        <v>11</v>
      </c>
      <c r="I50" s="12">
        <v>3357</v>
      </c>
      <c r="K50" s="5">
        <v>43590</v>
      </c>
      <c r="L50" s="5">
        <v>44318</v>
      </c>
      <c r="M50" s="12">
        <v>1071</v>
      </c>
      <c r="N50" s="12">
        <v>-36</v>
      </c>
      <c r="O50" s="12">
        <v>1035</v>
      </c>
      <c r="P50" s="9">
        <v>0.47076923076923083</v>
      </c>
      <c r="Q50" s="9">
        <v>-0.76595744680851063</v>
      </c>
      <c r="R50" s="13">
        <v>0.44573643410852704</v>
      </c>
    </row>
    <row r="51" spans="1:18" x14ac:dyDescent="0.2">
      <c r="A51" s="5">
        <v>43588</v>
      </c>
      <c r="B51" s="12">
        <v>3830</v>
      </c>
      <c r="C51" s="12">
        <v>303</v>
      </c>
      <c r="D51" s="12">
        <v>4133</v>
      </c>
      <c r="F51" s="5">
        <v>44319</v>
      </c>
      <c r="G51" s="12">
        <v>2249</v>
      </c>
      <c r="H51" s="12">
        <v>275</v>
      </c>
      <c r="I51" s="12">
        <v>2524</v>
      </c>
      <c r="K51" s="5">
        <v>43591</v>
      </c>
      <c r="L51" s="5">
        <v>44319</v>
      </c>
      <c r="M51" s="12">
        <v>133</v>
      </c>
      <c r="N51" s="12">
        <v>-75</v>
      </c>
      <c r="O51" s="12">
        <v>58</v>
      </c>
      <c r="P51" s="9">
        <v>6.2854442344045358E-2</v>
      </c>
      <c r="Q51" s="9">
        <v>-0.2142857142857143</v>
      </c>
      <c r="R51" s="13">
        <v>2.3519870235198637E-2</v>
      </c>
    </row>
    <row r="52" spans="1:18" x14ac:dyDescent="0.2">
      <c r="A52" s="5">
        <v>43589</v>
      </c>
      <c r="B52" s="12">
        <v>3309</v>
      </c>
      <c r="C52" s="12">
        <v>101</v>
      </c>
      <c r="D52" s="12">
        <v>3410</v>
      </c>
      <c r="F52" s="5">
        <v>44320</v>
      </c>
      <c r="G52" s="12">
        <v>1485</v>
      </c>
      <c r="H52" s="12">
        <v>318</v>
      </c>
      <c r="I52" s="12">
        <v>1803</v>
      </c>
      <c r="K52" s="5">
        <v>43592</v>
      </c>
      <c r="L52" s="5">
        <v>44320</v>
      </c>
      <c r="M52" s="12">
        <v>-318</v>
      </c>
      <c r="N52" s="12">
        <v>-27</v>
      </c>
      <c r="O52" s="12">
        <v>-345</v>
      </c>
      <c r="P52" s="9">
        <v>-0.17637271214642258</v>
      </c>
      <c r="Q52" s="9">
        <v>-7.8260869565217384E-2</v>
      </c>
      <c r="R52" s="13">
        <v>-0.16061452513966479</v>
      </c>
    </row>
    <row r="53" spans="1:18" x14ac:dyDescent="0.2">
      <c r="A53" s="5">
        <v>43590</v>
      </c>
      <c r="B53" s="12">
        <v>2275</v>
      </c>
      <c r="C53" s="12">
        <v>47</v>
      </c>
      <c r="D53" s="12">
        <v>2322</v>
      </c>
      <c r="F53" s="5">
        <v>44321</v>
      </c>
      <c r="G53" s="12">
        <v>1715</v>
      </c>
      <c r="H53" s="12">
        <v>325</v>
      </c>
      <c r="I53" s="12">
        <v>2040</v>
      </c>
      <c r="K53" s="5">
        <v>43593</v>
      </c>
      <c r="L53" s="5">
        <v>44321</v>
      </c>
      <c r="M53" s="12">
        <v>-15</v>
      </c>
      <c r="N53" s="12">
        <v>-9</v>
      </c>
      <c r="O53" s="12">
        <v>-24</v>
      </c>
      <c r="P53" s="9">
        <v>-8.6705202312138407E-3</v>
      </c>
      <c r="Q53" s="9">
        <v>-2.6946107784431184E-2</v>
      </c>
      <c r="R53" s="13">
        <v>-1.1627906976744207E-2</v>
      </c>
    </row>
    <row r="54" spans="1:18" x14ac:dyDescent="0.2">
      <c r="A54" s="5">
        <v>43591</v>
      </c>
      <c r="B54" s="12">
        <v>2116</v>
      </c>
      <c r="C54" s="12">
        <v>350</v>
      </c>
      <c r="D54" s="12">
        <v>2466</v>
      </c>
      <c r="F54" s="5">
        <v>44322</v>
      </c>
      <c r="G54" s="12">
        <v>2025</v>
      </c>
      <c r="H54" s="12">
        <v>351</v>
      </c>
      <c r="I54" s="12">
        <v>2376</v>
      </c>
      <c r="K54" s="5">
        <v>43594</v>
      </c>
      <c r="L54" s="5">
        <v>44322</v>
      </c>
      <c r="M54" s="12">
        <v>-531</v>
      </c>
      <c r="N54" s="12">
        <v>-4</v>
      </c>
      <c r="O54" s="12">
        <v>-535</v>
      </c>
      <c r="P54" s="9">
        <v>-0.20774647887323938</v>
      </c>
      <c r="Q54" s="9">
        <v>-1.1267605633802802E-2</v>
      </c>
      <c r="R54" s="13">
        <v>-0.18378564067330816</v>
      </c>
    </row>
    <row r="55" spans="1:18" x14ac:dyDescent="0.2">
      <c r="A55" s="5">
        <v>43592</v>
      </c>
      <c r="B55" s="12">
        <v>1803</v>
      </c>
      <c r="C55" s="12">
        <v>345</v>
      </c>
      <c r="D55" s="12">
        <v>2148</v>
      </c>
      <c r="F55" s="5">
        <v>44323</v>
      </c>
      <c r="G55" s="12">
        <v>3658</v>
      </c>
      <c r="H55" s="12">
        <v>281</v>
      </c>
      <c r="I55" s="12">
        <v>3939</v>
      </c>
      <c r="K55" s="5">
        <v>43595</v>
      </c>
      <c r="L55" s="5">
        <v>44323</v>
      </c>
      <c r="M55" s="12">
        <v>-957</v>
      </c>
      <c r="N55" s="12">
        <v>-35</v>
      </c>
      <c r="O55" s="12">
        <v>-992</v>
      </c>
      <c r="P55" s="9">
        <v>-0.20736728060671727</v>
      </c>
      <c r="Q55" s="9">
        <v>-0.11075949367088611</v>
      </c>
      <c r="R55" s="13">
        <v>-0.20117623200162238</v>
      </c>
    </row>
    <row r="56" spans="1:18" x14ac:dyDescent="0.2">
      <c r="A56" s="5">
        <v>43593</v>
      </c>
      <c r="B56" s="12">
        <v>1730</v>
      </c>
      <c r="C56" s="12">
        <v>334</v>
      </c>
      <c r="D56" s="12">
        <v>2064</v>
      </c>
      <c r="F56" s="5">
        <v>44324</v>
      </c>
      <c r="G56" s="12">
        <v>2932</v>
      </c>
      <c r="H56" s="12">
        <v>55</v>
      </c>
      <c r="I56" s="12">
        <v>2987</v>
      </c>
      <c r="K56" s="5">
        <v>43596</v>
      </c>
      <c r="L56" s="5">
        <v>44324</v>
      </c>
      <c r="M56" s="12">
        <v>-700</v>
      </c>
      <c r="N56" s="12">
        <v>-62</v>
      </c>
      <c r="O56" s="12">
        <v>-762</v>
      </c>
      <c r="P56" s="9">
        <v>-0.19273127753303965</v>
      </c>
      <c r="Q56" s="9">
        <v>-0.52991452991452992</v>
      </c>
      <c r="R56" s="13">
        <v>-0.20325420112029879</v>
      </c>
    </row>
    <row r="57" spans="1:18" x14ac:dyDescent="0.2">
      <c r="A57" s="5">
        <v>43594</v>
      </c>
      <c r="B57" s="12">
        <v>2556</v>
      </c>
      <c r="C57" s="12">
        <v>355</v>
      </c>
      <c r="D57" s="12">
        <v>2911</v>
      </c>
      <c r="F57" s="5">
        <v>44325</v>
      </c>
      <c r="G57" s="12">
        <v>2188</v>
      </c>
      <c r="H57" s="12">
        <v>14</v>
      </c>
      <c r="I57" s="12">
        <v>2202</v>
      </c>
      <c r="K57" s="5">
        <v>43597</v>
      </c>
      <c r="L57" s="5">
        <v>44325</v>
      </c>
      <c r="M57" s="12">
        <v>-1028</v>
      </c>
      <c r="N57" s="12">
        <v>-64</v>
      </c>
      <c r="O57" s="12">
        <v>-1092</v>
      </c>
      <c r="P57" s="9">
        <v>-0.31965174129353235</v>
      </c>
      <c r="Q57" s="9">
        <v>-0.82051282051282048</v>
      </c>
      <c r="R57" s="13">
        <v>-0.33151183970856102</v>
      </c>
    </row>
    <row r="58" spans="1:18" x14ac:dyDescent="0.2">
      <c r="A58" s="5">
        <v>43595</v>
      </c>
      <c r="B58" s="12">
        <v>4615</v>
      </c>
      <c r="C58" s="12">
        <v>316</v>
      </c>
      <c r="D58" s="12">
        <v>4931</v>
      </c>
      <c r="F58" s="5">
        <v>44326</v>
      </c>
      <c r="G58" s="12">
        <v>1481</v>
      </c>
      <c r="H58" s="12">
        <v>258</v>
      </c>
      <c r="I58" s="12">
        <v>1739</v>
      </c>
      <c r="K58" s="5">
        <v>43598</v>
      </c>
      <c r="L58" s="5">
        <v>44326</v>
      </c>
      <c r="M58" s="12">
        <v>-1019</v>
      </c>
      <c r="N58" s="12">
        <v>-66</v>
      </c>
      <c r="O58" s="12">
        <v>-1085</v>
      </c>
      <c r="P58" s="9">
        <v>-0.40759999999999996</v>
      </c>
      <c r="Q58" s="9">
        <v>-0.20370370370370372</v>
      </c>
      <c r="R58" s="13">
        <v>-0.38420679886685549</v>
      </c>
    </row>
    <row r="59" spans="1:18" x14ac:dyDescent="0.2">
      <c r="A59" s="5">
        <v>43596</v>
      </c>
      <c r="B59" s="12">
        <v>3632</v>
      </c>
      <c r="C59" s="12">
        <v>117</v>
      </c>
      <c r="D59" s="12">
        <v>3749</v>
      </c>
      <c r="F59" s="5">
        <v>44327</v>
      </c>
      <c r="G59" s="12">
        <v>1846</v>
      </c>
      <c r="H59" s="12">
        <v>335</v>
      </c>
      <c r="I59" s="12">
        <v>2181</v>
      </c>
      <c r="K59" s="5">
        <v>43599</v>
      </c>
      <c r="L59" s="5">
        <v>44327</v>
      </c>
      <c r="M59" s="12">
        <v>-184</v>
      </c>
      <c r="N59" s="12">
        <v>-20</v>
      </c>
      <c r="O59" s="12">
        <v>-204</v>
      </c>
      <c r="P59" s="9">
        <v>-9.0640394088669973E-2</v>
      </c>
      <c r="Q59" s="9">
        <v>-5.633802816901412E-2</v>
      </c>
      <c r="R59" s="13">
        <v>-8.5534591194968534E-2</v>
      </c>
    </row>
    <row r="60" spans="1:18" x14ac:dyDescent="0.2">
      <c r="A60" s="5">
        <v>43597</v>
      </c>
      <c r="B60" s="12">
        <v>3216</v>
      </c>
      <c r="C60" s="12">
        <v>78</v>
      </c>
      <c r="D60" s="12">
        <v>3294</v>
      </c>
      <c r="F60" s="5">
        <v>44328</v>
      </c>
      <c r="G60" s="12">
        <v>8302</v>
      </c>
      <c r="H60" s="12">
        <v>522</v>
      </c>
      <c r="I60" s="12">
        <v>8824</v>
      </c>
      <c r="K60" s="5">
        <v>43600</v>
      </c>
      <c r="L60" s="5">
        <v>44328</v>
      </c>
      <c r="M60" s="12">
        <v>6192</v>
      </c>
      <c r="N60" s="12">
        <v>150</v>
      </c>
      <c r="O60" s="12">
        <v>6342</v>
      </c>
      <c r="P60" s="9">
        <v>2.9345971563981044</v>
      </c>
      <c r="Q60" s="9">
        <v>0.40322580645161299</v>
      </c>
      <c r="R60" s="13">
        <v>2.5551974214343272</v>
      </c>
    </row>
    <row r="61" spans="1:18" x14ac:dyDescent="0.2">
      <c r="A61" s="5">
        <v>43598</v>
      </c>
      <c r="B61" s="12">
        <v>2500</v>
      </c>
      <c r="C61" s="12">
        <v>324</v>
      </c>
      <c r="D61" s="12">
        <v>2824</v>
      </c>
      <c r="F61" s="5">
        <v>44329</v>
      </c>
      <c r="G61" s="12">
        <v>6306</v>
      </c>
      <c r="H61" s="12">
        <v>26</v>
      </c>
      <c r="I61" s="12">
        <v>6332</v>
      </c>
      <c r="K61" s="5">
        <v>43601</v>
      </c>
      <c r="L61" s="5">
        <v>44329</v>
      </c>
      <c r="M61" s="12">
        <v>3907</v>
      </c>
      <c r="N61" s="12">
        <v>-296</v>
      </c>
      <c r="O61" s="12">
        <v>3611</v>
      </c>
      <c r="P61" s="9">
        <v>1.6285952480200083</v>
      </c>
      <c r="Q61" s="9">
        <v>-0.91925465838509313</v>
      </c>
      <c r="R61" s="13">
        <v>1.3270856302829843</v>
      </c>
    </row>
    <row r="62" spans="1:18" x14ac:dyDescent="0.2">
      <c r="A62" s="5">
        <v>43599</v>
      </c>
      <c r="B62" s="12">
        <v>2030</v>
      </c>
      <c r="C62" s="12">
        <v>355</v>
      </c>
      <c r="D62" s="12">
        <v>2385</v>
      </c>
      <c r="F62" s="5">
        <v>44330</v>
      </c>
      <c r="G62" s="12">
        <v>2944</v>
      </c>
      <c r="H62" s="12">
        <v>241</v>
      </c>
      <c r="I62" s="12">
        <v>3185</v>
      </c>
      <c r="K62" s="5">
        <v>43602</v>
      </c>
      <c r="L62" s="5">
        <v>44330</v>
      </c>
      <c r="M62" s="12">
        <v>-897</v>
      </c>
      <c r="N62" s="12">
        <v>-35</v>
      </c>
      <c r="O62" s="12">
        <v>-932</v>
      </c>
      <c r="P62" s="9">
        <v>-0.23353293413173648</v>
      </c>
      <c r="Q62" s="9">
        <v>-0.12681159420289856</v>
      </c>
      <c r="R62" s="13">
        <v>-0.22637843089628373</v>
      </c>
    </row>
    <row r="63" spans="1:18" x14ac:dyDescent="0.2">
      <c r="A63" s="5">
        <v>43600</v>
      </c>
      <c r="B63" s="12">
        <v>2110</v>
      </c>
      <c r="C63" s="12">
        <v>372</v>
      </c>
      <c r="D63" s="12">
        <v>2482</v>
      </c>
      <c r="F63" s="5">
        <v>44331</v>
      </c>
      <c r="G63" s="12">
        <v>2967</v>
      </c>
      <c r="H63" s="12">
        <v>68</v>
      </c>
      <c r="I63" s="12">
        <v>3035</v>
      </c>
      <c r="K63" s="5">
        <v>43603</v>
      </c>
      <c r="L63" s="5">
        <v>44331</v>
      </c>
      <c r="M63" s="12">
        <v>-258</v>
      </c>
      <c r="N63" s="12">
        <v>-33</v>
      </c>
      <c r="O63" s="12">
        <v>-291</v>
      </c>
      <c r="P63" s="9">
        <v>-7.999999999999996E-2</v>
      </c>
      <c r="Q63" s="9">
        <v>-0.32673267326732669</v>
      </c>
      <c r="R63" s="13">
        <v>-8.749248346361993E-2</v>
      </c>
    </row>
    <row r="64" spans="1:18" x14ac:dyDescent="0.2">
      <c r="A64" s="5">
        <v>43601</v>
      </c>
      <c r="B64" s="12">
        <v>2399</v>
      </c>
      <c r="C64" s="12">
        <v>322</v>
      </c>
      <c r="D64" s="12">
        <v>2721</v>
      </c>
      <c r="F64" s="5">
        <v>44332</v>
      </c>
      <c r="G64" s="12">
        <v>3613</v>
      </c>
      <c r="H64" s="12">
        <v>12</v>
      </c>
      <c r="I64" s="12">
        <v>3625</v>
      </c>
      <c r="K64" s="5">
        <v>43604</v>
      </c>
      <c r="L64" s="5">
        <v>44332</v>
      </c>
      <c r="M64" s="12">
        <v>605</v>
      </c>
      <c r="N64" s="12">
        <v>-39</v>
      </c>
      <c r="O64" s="12">
        <v>566</v>
      </c>
      <c r="P64" s="9">
        <v>0.2011303191489362</v>
      </c>
      <c r="Q64" s="9">
        <v>-0.76470588235294112</v>
      </c>
      <c r="R64" s="13">
        <v>0.18502778685845045</v>
      </c>
    </row>
    <row r="65" spans="1:18" x14ac:dyDescent="0.2">
      <c r="A65" s="5">
        <v>43602</v>
      </c>
      <c r="B65" s="12">
        <v>3841</v>
      </c>
      <c r="C65" s="12">
        <v>276</v>
      </c>
      <c r="D65" s="12">
        <v>4117</v>
      </c>
      <c r="F65" s="5">
        <v>44333</v>
      </c>
      <c r="G65" s="12">
        <v>3357</v>
      </c>
      <c r="H65" s="12">
        <v>296</v>
      </c>
      <c r="I65" s="12">
        <v>3653</v>
      </c>
      <c r="K65" s="5">
        <v>43605</v>
      </c>
      <c r="L65" s="5">
        <v>44333</v>
      </c>
      <c r="M65" s="12">
        <v>1098</v>
      </c>
      <c r="N65" s="12">
        <v>-35</v>
      </c>
      <c r="O65" s="12">
        <v>1063</v>
      </c>
      <c r="P65" s="9">
        <v>0.48605577689243029</v>
      </c>
      <c r="Q65" s="9">
        <v>-0.10574018126888218</v>
      </c>
      <c r="R65" s="13">
        <v>0.41042471042471051</v>
      </c>
    </row>
    <row r="66" spans="1:18" x14ac:dyDescent="0.2">
      <c r="A66" s="5">
        <v>43603</v>
      </c>
      <c r="B66" s="12">
        <v>3225</v>
      </c>
      <c r="C66" s="12">
        <v>101</v>
      </c>
      <c r="D66" s="12">
        <v>3326</v>
      </c>
      <c r="F66" s="5">
        <v>44334</v>
      </c>
      <c r="G66" s="12">
        <v>2551</v>
      </c>
      <c r="H66" s="12">
        <v>377</v>
      </c>
      <c r="I66" s="12">
        <v>2928</v>
      </c>
      <c r="K66" s="5">
        <v>43606</v>
      </c>
      <c r="L66" s="5">
        <v>44334</v>
      </c>
      <c r="M66" s="12">
        <v>305</v>
      </c>
      <c r="N66" s="12">
        <v>34</v>
      </c>
      <c r="O66" s="12">
        <v>339</v>
      </c>
      <c r="P66" s="9">
        <v>0.13579697239536959</v>
      </c>
      <c r="Q66" s="9">
        <v>9.9125364431486895E-2</v>
      </c>
      <c r="R66" s="13">
        <v>0.13093858632676714</v>
      </c>
    </row>
    <row r="67" spans="1:18" x14ac:dyDescent="0.2">
      <c r="A67" s="5">
        <v>43604</v>
      </c>
      <c r="B67" s="12">
        <v>3008</v>
      </c>
      <c r="C67" s="12">
        <v>51</v>
      </c>
      <c r="D67" s="12">
        <v>3059</v>
      </c>
      <c r="F67" s="5">
        <v>44335</v>
      </c>
      <c r="G67" s="12">
        <v>2370</v>
      </c>
      <c r="H67" s="12">
        <v>337</v>
      </c>
      <c r="I67" s="12">
        <v>2707</v>
      </c>
      <c r="K67" s="5">
        <v>43607</v>
      </c>
      <c r="L67" s="5">
        <v>44335</v>
      </c>
      <c r="M67" s="12">
        <v>-21</v>
      </c>
      <c r="N67" s="12">
        <v>-14</v>
      </c>
      <c r="O67" s="12">
        <v>-35</v>
      </c>
      <c r="P67" s="9">
        <v>-8.7829360100376563E-3</v>
      </c>
      <c r="Q67" s="9">
        <v>-3.9886039886039892E-2</v>
      </c>
      <c r="R67" s="13">
        <v>-1.2764405543398971E-2</v>
      </c>
    </row>
    <row r="68" spans="1:18" x14ac:dyDescent="0.2">
      <c r="A68" s="5">
        <v>43605</v>
      </c>
      <c r="B68" s="12">
        <v>2259</v>
      </c>
      <c r="C68" s="12">
        <v>331</v>
      </c>
      <c r="D68" s="12">
        <v>2590</v>
      </c>
      <c r="F68" s="5">
        <v>44336</v>
      </c>
      <c r="G68" s="12">
        <v>3561</v>
      </c>
      <c r="H68" s="12">
        <v>320</v>
      </c>
      <c r="I68" s="12">
        <v>3881</v>
      </c>
      <c r="K68" s="5">
        <v>43608</v>
      </c>
      <c r="L68" s="5">
        <v>44336</v>
      </c>
      <c r="M68" s="12">
        <v>555</v>
      </c>
      <c r="N68" s="12">
        <v>-53</v>
      </c>
      <c r="O68" s="12">
        <v>502</v>
      </c>
      <c r="P68" s="9">
        <v>0.1846307385229542</v>
      </c>
      <c r="Q68" s="9">
        <v>-0.14209115281501339</v>
      </c>
      <c r="R68" s="13">
        <v>0.14856466410180524</v>
      </c>
    </row>
    <row r="69" spans="1:18" x14ac:dyDescent="0.2">
      <c r="A69" s="5">
        <v>43606</v>
      </c>
      <c r="B69" s="12">
        <v>2246</v>
      </c>
      <c r="C69" s="12">
        <v>343</v>
      </c>
      <c r="D69" s="12">
        <v>2589</v>
      </c>
      <c r="F69" s="5">
        <v>44337</v>
      </c>
      <c r="G69" s="12">
        <v>7504</v>
      </c>
      <c r="H69" s="12">
        <v>328</v>
      </c>
      <c r="I69" s="12">
        <v>7832</v>
      </c>
      <c r="K69" s="5">
        <v>43609</v>
      </c>
      <c r="L69" s="5">
        <v>44337</v>
      </c>
      <c r="M69" s="12">
        <v>2319</v>
      </c>
      <c r="N69" s="12">
        <v>-13</v>
      </c>
      <c r="O69" s="12">
        <v>2306</v>
      </c>
      <c r="P69" s="9">
        <v>0.44725168756027012</v>
      </c>
      <c r="Q69" s="9">
        <v>-3.8123167155425186E-2</v>
      </c>
      <c r="R69" s="13">
        <v>0.4173000361925443</v>
      </c>
    </row>
    <row r="70" spans="1:18" x14ac:dyDescent="0.2">
      <c r="A70" s="5">
        <v>43607</v>
      </c>
      <c r="B70" s="12">
        <v>2391</v>
      </c>
      <c r="C70" s="12">
        <v>351</v>
      </c>
      <c r="D70" s="12">
        <v>2742</v>
      </c>
      <c r="F70" s="5">
        <v>44338</v>
      </c>
      <c r="G70" s="12">
        <v>9056</v>
      </c>
      <c r="H70" s="12">
        <v>117</v>
      </c>
      <c r="I70" s="12">
        <v>9173</v>
      </c>
      <c r="K70" s="5">
        <v>43610</v>
      </c>
      <c r="L70" s="5">
        <v>44338</v>
      </c>
      <c r="M70" s="12">
        <v>3492</v>
      </c>
      <c r="N70" s="12">
        <v>-26</v>
      </c>
      <c r="O70" s="12">
        <v>3466</v>
      </c>
      <c r="P70" s="9">
        <v>0.62760603882099208</v>
      </c>
      <c r="Q70" s="9">
        <v>-0.18181818181818177</v>
      </c>
      <c r="R70" s="13">
        <v>0.60732433853162782</v>
      </c>
    </row>
    <row r="71" spans="1:18" x14ac:dyDescent="0.2">
      <c r="A71" s="5">
        <v>43608</v>
      </c>
      <c r="B71" s="12">
        <v>3006</v>
      </c>
      <c r="C71" s="12">
        <v>373</v>
      </c>
      <c r="D71" s="12">
        <v>3379</v>
      </c>
      <c r="F71" s="5">
        <v>44339</v>
      </c>
      <c r="G71" s="12">
        <v>4650</v>
      </c>
      <c r="H71" s="12">
        <v>4</v>
      </c>
      <c r="I71" s="12">
        <v>4654</v>
      </c>
      <c r="K71" s="5">
        <v>43611</v>
      </c>
      <c r="L71" s="5">
        <v>44339</v>
      </c>
      <c r="M71" s="12">
        <v>1018</v>
      </c>
      <c r="N71" s="12">
        <v>-80</v>
      </c>
      <c r="O71" s="12">
        <v>938</v>
      </c>
      <c r="P71" s="9">
        <v>0.28028634361233484</v>
      </c>
      <c r="Q71" s="9">
        <v>-0.95238095238095233</v>
      </c>
      <c r="R71" s="13">
        <v>0.2524219590958019</v>
      </c>
    </row>
    <row r="72" spans="1:18" x14ac:dyDescent="0.2">
      <c r="A72" s="5">
        <v>43609</v>
      </c>
      <c r="B72" s="12">
        <v>5185</v>
      </c>
      <c r="C72" s="12">
        <v>341</v>
      </c>
      <c r="D72" s="12">
        <v>5526</v>
      </c>
      <c r="F72" s="5">
        <v>44340</v>
      </c>
      <c r="G72" s="12">
        <v>3174</v>
      </c>
      <c r="H72" s="12">
        <v>37</v>
      </c>
      <c r="I72" s="12">
        <v>3211</v>
      </c>
      <c r="K72" s="5">
        <v>43612</v>
      </c>
      <c r="L72" s="5">
        <v>44340</v>
      </c>
      <c r="M72" s="12">
        <v>637</v>
      </c>
      <c r="N72" s="12">
        <v>-283</v>
      </c>
      <c r="O72" s="12">
        <v>354</v>
      </c>
      <c r="P72" s="9">
        <v>0.25108395743003542</v>
      </c>
      <c r="Q72" s="9">
        <v>-0.88437500000000002</v>
      </c>
      <c r="R72" s="13">
        <v>0.12390619530976554</v>
      </c>
    </row>
    <row r="73" spans="1:18" x14ac:dyDescent="0.2">
      <c r="A73" s="5">
        <v>43610</v>
      </c>
      <c r="B73" s="12">
        <v>5564</v>
      </c>
      <c r="C73" s="12">
        <v>143</v>
      </c>
      <c r="D73" s="12">
        <v>5707</v>
      </c>
      <c r="F73" s="5">
        <v>44341</v>
      </c>
      <c r="G73" s="12">
        <v>2843</v>
      </c>
      <c r="H73" s="12">
        <v>263</v>
      </c>
      <c r="I73" s="12">
        <v>3106</v>
      </c>
      <c r="K73" s="5">
        <v>43613</v>
      </c>
      <c r="L73" s="5">
        <v>44341</v>
      </c>
      <c r="M73" s="12">
        <v>-643</v>
      </c>
      <c r="N73" s="12">
        <v>-182</v>
      </c>
      <c r="O73" s="12">
        <v>-825</v>
      </c>
      <c r="P73" s="9">
        <v>-0.18445209409064833</v>
      </c>
      <c r="Q73" s="9">
        <v>-0.40898876404494378</v>
      </c>
      <c r="R73" s="13">
        <v>-0.20987026201984227</v>
      </c>
    </row>
    <row r="74" spans="1:18" x14ac:dyDescent="0.2">
      <c r="A74" s="5">
        <v>43611</v>
      </c>
      <c r="B74" s="12">
        <v>3632</v>
      </c>
      <c r="C74" s="12">
        <v>84</v>
      </c>
      <c r="D74" s="12">
        <v>3716</v>
      </c>
      <c r="F74" s="5">
        <v>44342</v>
      </c>
      <c r="G74" s="12">
        <v>2740</v>
      </c>
      <c r="H74" s="12">
        <v>365</v>
      </c>
      <c r="I74" s="12">
        <v>3105</v>
      </c>
      <c r="K74" s="5">
        <v>43614</v>
      </c>
      <c r="L74" s="5">
        <v>44342</v>
      </c>
      <c r="M74" s="12">
        <v>-8689</v>
      </c>
      <c r="N74" s="12">
        <v>-238</v>
      </c>
      <c r="O74" s="12">
        <v>-8927</v>
      </c>
      <c r="P74" s="9">
        <v>-0.76025899028786426</v>
      </c>
      <c r="Q74" s="9">
        <v>-0.3946932006633499</v>
      </c>
      <c r="R74" s="13">
        <v>-0.74193816489361697</v>
      </c>
    </row>
    <row r="75" spans="1:18" x14ac:dyDescent="0.2">
      <c r="A75" s="5">
        <v>43612</v>
      </c>
      <c r="B75" s="12">
        <v>2537</v>
      </c>
      <c r="C75" s="12">
        <v>320</v>
      </c>
      <c r="D75" s="12">
        <v>2857</v>
      </c>
      <c r="F75" s="5">
        <v>44343</v>
      </c>
      <c r="G75" s="12">
        <v>3082</v>
      </c>
      <c r="H75" s="12">
        <v>388</v>
      </c>
      <c r="I75" s="12">
        <v>3470</v>
      </c>
      <c r="K75" s="5">
        <v>43615</v>
      </c>
      <c r="L75" s="5">
        <v>44343</v>
      </c>
      <c r="M75" s="12">
        <v>-8169</v>
      </c>
      <c r="N75" s="12">
        <v>241</v>
      </c>
      <c r="O75" s="12">
        <v>-7928</v>
      </c>
      <c r="P75" s="9">
        <v>-0.72606879388498802</v>
      </c>
      <c r="Q75" s="9">
        <v>1.639455782312925</v>
      </c>
      <c r="R75" s="13">
        <v>-0.69556062467099489</v>
      </c>
    </row>
    <row r="76" spans="1:18" x14ac:dyDescent="0.2">
      <c r="A76" s="5">
        <v>43613</v>
      </c>
      <c r="B76" s="12">
        <v>3486</v>
      </c>
      <c r="C76" s="12">
        <v>445</v>
      </c>
      <c r="D76" s="12">
        <v>3931</v>
      </c>
      <c r="F76" s="5">
        <v>44344</v>
      </c>
      <c r="G76" s="12">
        <v>5608</v>
      </c>
      <c r="H76" s="12">
        <v>304</v>
      </c>
      <c r="I76" s="12">
        <v>5912</v>
      </c>
      <c r="K76" s="5">
        <v>43616</v>
      </c>
      <c r="L76" s="5">
        <v>44344</v>
      </c>
      <c r="M76" s="12">
        <v>1469</v>
      </c>
      <c r="N76" s="12">
        <v>38</v>
      </c>
      <c r="O76" s="12">
        <v>1507</v>
      </c>
      <c r="P76" s="9">
        <v>0.35491664653297894</v>
      </c>
      <c r="Q76" s="9">
        <v>0.14285714285714279</v>
      </c>
      <c r="R76" s="13">
        <v>0.34211123723042003</v>
      </c>
    </row>
    <row r="77" spans="1:18" x14ac:dyDescent="0.2">
      <c r="A77" s="5">
        <v>43614</v>
      </c>
      <c r="B77" s="12">
        <v>11429</v>
      </c>
      <c r="C77" s="12">
        <v>603</v>
      </c>
      <c r="D77" s="12">
        <v>12032</v>
      </c>
      <c r="F77" s="5">
        <v>44345</v>
      </c>
      <c r="G77" s="12">
        <v>6307</v>
      </c>
      <c r="H77" s="12">
        <v>72</v>
      </c>
      <c r="I77" s="12">
        <v>6379</v>
      </c>
      <c r="K77" s="5">
        <v>43617</v>
      </c>
      <c r="L77" s="5">
        <v>44345</v>
      </c>
      <c r="M77" s="12">
        <v>2491</v>
      </c>
      <c r="N77" s="12">
        <v>-15</v>
      </c>
      <c r="O77" s="12">
        <v>2476</v>
      </c>
      <c r="P77" s="9">
        <v>0.65277777777777768</v>
      </c>
      <c r="Q77" s="9">
        <v>-0.17241379310344829</v>
      </c>
      <c r="R77" s="13">
        <v>0.63438380732769661</v>
      </c>
    </row>
    <row r="78" spans="1:18" x14ac:dyDescent="0.2">
      <c r="A78" s="5">
        <v>43615</v>
      </c>
      <c r="B78" s="12">
        <v>11251</v>
      </c>
      <c r="C78" s="12">
        <v>147</v>
      </c>
      <c r="D78" s="12">
        <v>11398</v>
      </c>
      <c r="F78" s="5">
        <v>44346</v>
      </c>
      <c r="G78" s="12">
        <v>3610</v>
      </c>
      <c r="H78" s="12">
        <v>7</v>
      </c>
      <c r="I78" s="12">
        <v>3617</v>
      </c>
      <c r="K78" s="5">
        <v>43618</v>
      </c>
      <c r="L78" s="5">
        <v>44346</v>
      </c>
      <c r="M78" s="12">
        <v>-44</v>
      </c>
      <c r="N78" s="12">
        <v>-50</v>
      </c>
      <c r="O78" s="12">
        <v>-94</v>
      </c>
      <c r="P78" s="9">
        <v>-1.2041598248494823E-2</v>
      </c>
      <c r="Q78" s="9">
        <v>-0.87719298245614041</v>
      </c>
      <c r="R78" s="13">
        <v>-2.5330099703583908E-2</v>
      </c>
    </row>
    <row r="79" spans="1:18" x14ac:dyDescent="0.2">
      <c r="A79" s="5">
        <v>43616</v>
      </c>
      <c r="B79" s="12">
        <v>4139</v>
      </c>
      <c r="C79" s="12">
        <v>266</v>
      </c>
      <c r="D79" s="12">
        <v>4405</v>
      </c>
      <c r="F79" s="5">
        <v>44347</v>
      </c>
      <c r="G79" s="12">
        <v>2142</v>
      </c>
      <c r="H79" s="12">
        <v>317</v>
      </c>
      <c r="I79" s="12">
        <v>2459</v>
      </c>
      <c r="K79" s="5">
        <v>43619</v>
      </c>
      <c r="L79" s="5">
        <v>44347</v>
      </c>
      <c r="M79" s="12">
        <f t="shared" ref="M79:O79" si="2">G79-B82</f>
        <v>-191</v>
      </c>
      <c r="N79" s="12">
        <f t="shared" si="2"/>
        <v>0</v>
      </c>
      <c r="O79" s="12">
        <f t="shared" si="2"/>
        <v>-191</v>
      </c>
      <c r="P79" s="9">
        <f t="shared" ref="P79:R79" si="3">G79/B82-1</f>
        <v>-8.1868838405486533E-2</v>
      </c>
      <c r="Q79" s="9">
        <f t="shared" si="3"/>
        <v>0</v>
      </c>
      <c r="R79" s="13">
        <f t="shared" si="3"/>
        <v>-7.2075471698113236E-2</v>
      </c>
    </row>
    <row r="80" spans="1:18" x14ac:dyDescent="0.2">
      <c r="A80" s="5">
        <v>43617</v>
      </c>
      <c r="B80" s="12">
        <v>3816</v>
      </c>
      <c r="C80" s="12">
        <v>87</v>
      </c>
      <c r="D80" s="12">
        <v>3903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">
      <c r="A81" s="5">
        <v>43618</v>
      </c>
      <c r="B81" s="12">
        <v>3654</v>
      </c>
      <c r="C81" s="12">
        <v>57</v>
      </c>
      <c r="D81" s="12">
        <v>3711</v>
      </c>
      <c r="F81" s="5"/>
      <c r="G81" s="12"/>
      <c r="H81" s="12"/>
      <c r="I81" s="12"/>
      <c r="K81" s="5"/>
      <c r="L81" s="5"/>
      <c r="M81" s="12"/>
      <c r="N81" s="12"/>
      <c r="O81" s="12"/>
      <c r="P81" s="9"/>
      <c r="Q81" s="9"/>
      <c r="R81" s="13"/>
    </row>
    <row r="82" spans="1:18" x14ac:dyDescent="0.2">
      <c r="A82" s="5">
        <v>43619</v>
      </c>
      <c r="B82" s="12">
        <v>2333</v>
      </c>
      <c r="C82" s="12">
        <v>317</v>
      </c>
      <c r="D82" s="12">
        <v>2650</v>
      </c>
      <c r="F82" s="5"/>
      <c r="G82" s="12"/>
      <c r="H82" s="12"/>
      <c r="I82" s="12"/>
      <c r="K82" s="5"/>
      <c r="L82" s="5"/>
      <c r="M82" s="12"/>
      <c r="N82" s="12"/>
      <c r="O82" s="12"/>
      <c r="P82" s="9"/>
      <c r="Q82" s="9"/>
      <c r="R82" s="13"/>
    </row>
    <row r="83" spans="1:18" x14ac:dyDescent="0.2">
      <c r="A83" s="5"/>
      <c r="B83" s="2"/>
      <c r="C83" s="2"/>
      <c r="D83" s="2"/>
      <c r="F83" s="5"/>
      <c r="G83" s="2"/>
      <c r="H83" s="2"/>
      <c r="I83" s="2"/>
      <c r="L83" s="5"/>
      <c r="M83" s="2"/>
      <c r="N83" s="2"/>
      <c r="O83" s="2"/>
      <c r="P83" s="2"/>
      <c r="Q83" s="2"/>
      <c r="R83" s="14"/>
    </row>
    <row r="84" spans="1:18" x14ac:dyDescent="0.2">
      <c r="B84" s="2"/>
      <c r="C84" s="2"/>
      <c r="G84" s="2"/>
      <c r="H84" s="2"/>
    </row>
    <row r="85" spans="1:18" ht="12.95" customHeight="1" x14ac:dyDescent="0.2">
      <c r="A85" s="26" t="s">
        <v>10</v>
      </c>
      <c r="B85" s="6"/>
      <c r="C85" s="6"/>
      <c r="D85" s="3"/>
      <c r="F85" s="26" t="s">
        <v>10</v>
      </c>
      <c r="G85" s="6"/>
      <c r="H85" s="6"/>
      <c r="I85" s="3"/>
      <c r="K85" s="26" t="s">
        <v>11</v>
      </c>
      <c r="L85" s="26"/>
      <c r="M85" s="6"/>
      <c r="N85" s="6"/>
      <c r="O85" s="3"/>
      <c r="P85" s="6"/>
      <c r="Q85" s="6"/>
      <c r="R85" s="3"/>
    </row>
    <row r="86" spans="1:18" ht="25.5" x14ac:dyDescent="0.2">
      <c r="A86" s="27"/>
      <c r="B86" s="8" t="s">
        <v>38</v>
      </c>
      <c r="C86" s="4" t="s">
        <v>2</v>
      </c>
      <c r="D86" s="4" t="s">
        <v>0</v>
      </c>
      <c r="F86" s="27"/>
      <c r="G86" s="8" t="s">
        <v>38</v>
      </c>
      <c r="H86" s="4" t="s">
        <v>2</v>
      </c>
      <c r="I86" s="4" t="s">
        <v>0</v>
      </c>
      <c r="K86" s="27"/>
      <c r="L86" s="27"/>
      <c r="M86" s="8" t="s">
        <v>38</v>
      </c>
      <c r="N86" s="4" t="s">
        <v>2</v>
      </c>
      <c r="O86" s="4" t="s">
        <v>0</v>
      </c>
      <c r="P86" s="8" t="s">
        <v>38</v>
      </c>
      <c r="Q86" s="4" t="s">
        <v>2</v>
      </c>
      <c r="R86" s="4" t="s">
        <v>0</v>
      </c>
    </row>
    <row r="87" spans="1:18" x14ac:dyDescent="0.2">
      <c r="A87" s="5">
        <v>43586</v>
      </c>
      <c r="B87" s="12">
        <v>3238</v>
      </c>
      <c r="C87" s="12">
        <v>108</v>
      </c>
      <c r="D87" s="12">
        <v>3346</v>
      </c>
      <c r="F87" s="5">
        <v>44317</v>
      </c>
      <c r="G87" s="12">
        <v>1880</v>
      </c>
      <c r="H87" s="12">
        <v>22</v>
      </c>
      <c r="I87" s="12">
        <v>1902</v>
      </c>
      <c r="K87" s="5">
        <v>43589</v>
      </c>
      <c r="L87" s="5">
        <v>44317</v>
      </c>
      <c r="M87" s="12">
        <v>-3706</v>
      </c>
      <c r="N87" s="12">
        <v>-185</v>
      </c>
      <c r="O87" s="12">
        <v>-3891</v>
      </c>
      <c r="P87" s="9">
        <v>-0.66344432509846052</v>
      </c>
      <c r="Q87" s="9">
        <v>-0.893719806763285</v>
      </c>
      <c r="R87" s="13">
        <v>-0.67167270844122218</v>
      </c>
    </row>
    <row r="88" spans="1:18" x14ac:dyDescent="0.2">
      <c r="A88" s="5">
        <v>43587</v>
      </c>
      <c r="B88" s="12">
        <v>2804</v>
      </c>
      <c r="C88" s="12">
        <v>284</v>
      </c>
      <c r="D88" s="12">
        <v>3088</v>
      </c>
      <c r="F88" s="5">
        <v>44318</v>
      </c>
      <c r="G88" s="12">
        <v>2987</v>
      </c>
      <c r="H88" s="12">
        <v>7</v>
      </c>
      <c r="I88" s="12">
        <v>2994</v>
      </c>
      <c r="K88" s="5">
        <v>43590</v>
      </c>
      <c r="L88" s="5">
        <v>44318</v>
      </c>
      <c r="M88" s="12">
        <v>-4399</v>
      </c>
      <c r="N88" s="12">
        <v>-107</v>
      </c>
      <c r="O88" s="12">
        <v>-4506</v>
      </c>
      <c r="P88" s="9">
        <v>-0.59558624424587059</v>
      </c>
      <c r="Q88" s="9">
        <v>-0.93859649122807021</v>
      </c>
      <c r="R88" s="13">
        <v>-0.6008</v>
      </c>
    </row>
    <row r="89" spans="1:18" x14ac:dyDescent="0.2">
      <c r="A89" s="5">
        <v>43588</v>
      </c>
      <c r="B89" s="12">
        <v>3350</v>
      </c>
      <c r="C89" s="12">
        <v>313</v>
      </c>
      <c r="D89" s="12">
        <v>3663</v>
      </c>
      <c r="F89" s="5">
        <v>44319</v>
      </c>
      <c r="G89" s="12">
        <v>1967</v>
      </c>
      <c r="H89" s="12">
        <v>286</v>
      </c>
      <c r="I89" s="12">
        <v>2253</v>
      </c>
      <c r="K89" s="5">
        <v>43591</v>
      </c>
      <c r="L89" s="5">
        <v>44319</v>
      </c>
      <c r="M89" s="12">
        <v>-535</v>
      </c>
      <c r="N89" s="12">
        <v>32</v>
      </c>
      <c r="O89" s="12">
        <v>-503</v>
      </c>
      <c r="P89" s="9">
        <v>-0.21382893685051962</v>
      </c>
      <c r="Q89" s="9">
        <v>0.12598425196850394</v>
      </c>
      <c r="R89" s="13">
        <v>-0.18251088534107407</v>
      </c>
    </row>
    <row r="90" spans="1:18" x14ac:dyDescent="0.2">
      <c r="A90" s="5">
        <v>43589</v>
      </c>
      <c r="B90" s="12">
        <v>5586</v>
      </c>
      <c r="C90" s="12">
        <v>207</v>
      </c>
      <c r="D90" s="12">
        <v>5793</v>
      </c>
      <c r="F90" s="5">
        <v>44320</v>
      </c>
      <c r="G90" s="12">
        <v>1660</v>
      </c>
      <c r="H90" s="12">
        <v>303</v>
      </c>
      <c r="I90" s="12">
        <v>1963</v>
      </c>
      <c r="K90" s="5">
        <v>43592</v>
      </c>
      <c r="L90" s="5">
        <v>44320</v>
      </c>
      <c r="M90" s="12">
        <v>-409</v>
      </c>
      <c r="N90" s="12">
        <v>-49</v>
      </c>
      <c r="O90" s="12">
        <v>-458</v>
      </c>
      <c r="P90" s="9">
        <v>-0.19768003866602224</v>
      </c>
      <c r="Q90" s="9">
        <v>-0.13920454545454541</v>
      </c>
      <c r="R90" s="13">
        <v>-0.18917802560925234</v>
      </c>
    </row>
    <row r="91" spans="1:18" x14ac:dyDescent="0.2">
      <c r="A91" s="5">
        <v>43590</v>
      </c>
      <c r="B91" s="12">
        <v>7386</v>
      </c>
      <c r="C91" s="12">
        <v>114</v>
      </c>
      <c r="D91" s="12">
        <v>7500</v>
      </c>
      <c r="F91" s="5">
        <v>44321</v>
      </c>
      <c r="G91" s="12">
        <v>1641</v>
      </c>
      <c r="H91" s="12">
        <v>278</v>
      </c>
      <c r="I91" s="12">
        <v>1919</v>
      </c>
      <c r="K91" s="5">
        <v>43593</v>
      </c>
      <c r="L91" s="5">
        <v>44321</v>
      </c>
      <c r="M91" s="12">
        <v>-214</v>
      </c>
      <c r="N91" s="12">
        <v>-16</v>
      </c>
      <c r="O91" s="12">
        <v>-230</v>
      </c>
      <c r="P91" s="9">
        <v>-0.11536388140161724</v>
      </c>
      <c r="Q91" s="9">
        <v>-5.4421768707482943E-2</v>
      </c>
      <c r="R91" s="13">
        <v>-0.10702652396463475</v>
      </c>
    </row>
    <row r="92" spans="1:18" x14ac:dyDescent="0.2">
      <c r="A92" s="5">
        <v>43591</v>
      </c>
      <c r="B92" s="12">
        <v>2502</v>
      </c>
      <c r="C92" s="12">
        <v>254</v>
      </c>
      <c r="D92" s="12">
        <v>2756</v>
      </c>
      <c r="F92" s="5">
        <v>44322</v>
      </c>
      <c r="G92" s="12">
        <v>1764</v>
      </c>
      <c r="H92" s="12">
        <v>299</v>
      </c>
      <c r="I92" s="12">
        <v>2063</v>
      </c>
      <c r="K92" s="5">
        <v>43594</v>
      </c>
      <c r="L92" s="5">
        <v>44322</v>
      </c>
      <c r="M92" s="12">
        <v>-196</v>
      </c>
      <c r="N92" s="12">
        <v>27</v>
      </c>
      <c r="O92" s="12">
        <v>-169</v>
      </c>
      <c r="P92" s="9">
        <v>-9.9999999999999978E-2</v>
      </c>
      <c r="Q92" s="9">
        <v>9.9264705882353033E-2</v>
      </c>
      <c r="R92" s="13">
        <v>-7.5716845878136207E-2</v>
      </c>
    </row>
    <row r="93" spans="1:18" x14ac:dyDescent="0.2">
      <c r="A93" s="5">
        <v>43592</v>
      </c>
      <c r="B93" s="12">
        <v>2069</v>
      </c>
      <c r="C93" s="12">
        <v>352</v>
      </c>
      <c r="D93" s="12">
        <v>2421</v>
      </c>
      <c r="F93" s="5">
        <v>44323</v>
      </c>
      <c r="G93" s="12">
        <v>2594</v>
      </c>
      <c r="H93" s="12">
        <v>259</v>
      </c>
      <c r="I93" s="12">
        <v>2853</v>
      </c>
      <c r="K93" s="5">
        <v>43595</v>
      </c>
      <c r="L93" s="5">
        <v>44323</v>
      </c>
      <c r="M93" s="12">
        <v>79</v>
      </c>
      <c r="N93" s="12">
        <v>24</v>
      </c>
      <c r="O93" s="12">
        <v>103</v>
      </c>
      <c r="P93" s="9">
        <v>3.1411530815109279E-2</v>
      </c>
      <c r="Q93" s="9">
        <v>0.10212765957446801</v>
      </c>
      <c r="R93" s="13">
        <v>3.7454545454545407E-2</v>
      </c>
    </row>
    <row r="94" spans="1:18" x14ac:dyDescent="0.2">
      <c r="A94" s="5">
        <v>43593</v>
      </c>
      <c r="B94" s="12">
        <v>1855</v>
      </c>
      <c r="C94" s="12">
        <v>294</v>
      </c>
      <c r="D94" s="12">
        <v>2149</v>
      </c>
      <c r="F94" s="5">
        <v>44324</v>
      </c>
      <c r="G94" s="12">
        <v>2948</v>
      </c>
      <c r="H94" s="12">
        <v>93</v>
      </c>
      <c r="I94" s="12">
        <v>3041</v>
      </c>
      <c r="K94" s="5">
        <v>43596</v>
      </c>
      <c r="L94" s="5">
        <v>44324</v>
      </c>
      <c r="M94" s="12">
        <v>120</v>
      </c>
      <c r="N94" s="12">
        <v>-48</v>
      </c>
      <c r="O94" s="12">
        <v>72</v>
      </c>
      <c r="P94" s="9">
        <v>4.2432814710042344E-2</v>
      </c>
      <c r="Q94" s="9">
        <v>-0.34042553191489366</v>
      </c>
      <c r="R94" s="13">
        <v>2.4250589424048563E-2</v>
      </c>
    </row>
    <row r="95" spans="1:18" x14ac:dyDescent="0.2">
      <c r="A95" s="5">
        <v>43594</v>
      </c>
      <c r="B95" s="12">
        <v>1960</v>
      </c>
      <c r="C95" s="12">
        <v>272</v>
      </c>
      <c r="D95" s="12">
        <v>2232</v>
      </c>
      <c r="F95" s="5">
        <v>44325</v>
      </c>
      <c r="G95" s="12">
        <v>4308</v>
      </c>
      <c r="H95" s="12">
        <v>16</v>
      </c>
      <c r="I95" s="12">
        <v>4324</v>
      </c>
      <c r="K95" s="5">
        <v>43597</v>
      </c>
      <c r="L95" s="5">
        <v>44325</v>
      </c>
      <c r="M95" s="12">
        <v>-1465</v>
      </c>
      <c r="N95" s="12">
        <v>-50</v>
      </c>
      <c r="O95" s="12">
        <v>-1515</v>
      </c>
      <c r="P95" s="9">
        <v>-0.25376753854148626</v>
      </c>
      <c r="Q95" s="9">
        <v>-0.75757575757575757</v>
      </c>
      <c r="R95" s="13">
        <v>-0.25946223668436375</v>
      </c>
    </row>
    <row r="96" spans="1:18" x14ac:dyDescent="0.2">
      <c r="A96" s="5">
        <v>43595</v>
      </c>
      <c r="B96" s="12">
        <v>2515</v>
      </c>
      <c r="C96" s="12">
        <v>235</v>
      </c>
      <c r="D96" s="12">
        <v>2750</v>
      </c>
      <c r="F96" s="5">
        <v>44326</v>
      </c>
      <c r="G96" s="12">
        <v>1820</v>
      </c>
      <c r="H96" s="12">
        <v>255</v>
      </c>
      <c r="I96" s="12">
        <v>2075</v>
      </c>
      <c r="K96" s="5">
        <v>43598</v>
      </c>
      <c r="L96" s="5">
        <v>44326</v>
      </c>
      <c r="M96" s="12">
        <v>-674</v>
      </c>
      <c r="N96" s="12">
        <v>-16</v>
      </c>
      <c r="O96" s="12">
        <v>-690</v>
      </c>
      <c r="P96" s="9">
        <v>-0.27024859663191658</v>
      </c>
      <c r="Q96" s="9">
        <v>-5.9040590405904037E-2</v>
      </c>
      <c r="R96" s="13">
        <v>-0.24954792043399643</v>
      </c>
    </row>
    <row r="97" spans="1:18" x14ac:dyDescent="0.2">
      <c r="A97" s="5">
        <v>43596</v>
      </c>
      <c r="B97" s="12">
        <v>2828</v>
      </c>
      <c r="C97" s="12">
        <v>141</v>
      </c>
      <c r="D97" s="12">
        <v>2969</v>
      </c>
      <c r="F97" s="5">
        <v>44327</v>
      </c>
      <c r="G97" s="12">
        <v>1259</v>
      </c>
      <c r="H97" s="12">
        <v>324</v>
      </c>
      <c r="I97" s="12">
        <v>1583</v>
      </c>
      <c r="K97" s="5">
        <v>43599</v>
      </c>
      <c r="L97" s="5">
        <v>44327</v>
      </c>
      <c r="M97" s="12">
        <v>-761</v>
      </c>
      <c r="N97" s="12">
        <v>3</v>
      </c>
      <c r="O97" s="12">
        <v>-758</v>
      </c>
      <c r="P97" s="9">
        <v>-0.37673267326732673</v>
      </c>
      <c r="Q97" s="9">
        <v>9.3457943925232545E-3</v>
      </c>
      <c r="R97" s="13">
        <v>-0.32379325074754384</v>
      </c>
    </row>
    <row r="98" spans="1:18" x14ac:dyDescent="0.2">
      <c r="A98" s="5">
        <v>43597</v>
      </c>
      <c r="B98" s="12">
        <v>5773</v>
      </c>
      <c r="C98" s="12">
        <v>66</v>
      </c>
      <c r="D98" s="12">
        <v>5839</v>
      </c>
      <c r="F98" s="5">
        <v>44328</v>
      </c>
      <c r="G98" s="12">
        <v>1846</v>
      </c>
      <c r="H98" s="12">
        <v>232</v>
      </c>
      <c r="I98" s="12">
        <v>2078</v>
      </c>
      <c r="K98" s="5">
        <v>43600</v>
      </c>
      <c r="L98" s="5">
        <v>44328</v>
      </c>
      <c r="M98" s="12">
        <v>-384</v>
      </c>
      <c r="N98" s="12">
        <v>-107</v>
      </c>
      <c r="O98" s="12">
        <v>-491</v>
      </c>
      <c r="P98" s="9">
        <v>-0.17219730941704037</v>
      </c>
      <c r="Q98" s="9">
        <v>-0.31563421828908556</v>
      </c>
      <c r="R98" s="13">
        <v>-0.19112495134293495</v>
      </c>
    </row>
    <row r="99" spans="1:18" x14ac:dyDescent="0.2">
      <c r="A99" s="5">
        <v>43598</v>
      </c>
      <c r="B99" s="12">
        <v>2494</v>
      </c>
      <c r="C99" s="12">
        <v>271</v>
      </c>
      <c r="D99" s="12">
        <v>2765</v>
      </c>
      <c r="F99" s="5">
        <v>44329</v>
      </c>
      <c r="G99" s="12">
        <v>2410</v>
      </c>
      <c r="H99" s="12">
        <v>6</v>
      </c>
      <c r="I99" s="12">
        <v>2416</v>
      </c>
      <c r="K99" s="5">
        <v>43601</v>
      </c>
      <c r="L99" s="5">
        <v>44329</v>
      </c>
      <c r="M99" s="12">
        <v>-55</v>
      </c>
      <c r="N99" s="12">
        <v>-311</v>
      </c>
      <c r="O99" s="12">
        <v>-366</v>
      </c>
      <c r="P99" s="9">
        <v>-2.2312373225152116E-2</v>
      </c>
      <c r="Q99" s="9">
        <v>-0.98107255520504733</v>
      </c>
      <c r="R99" s="13">
        <v>-0.13156002875629047</v>
      </c>
    </row>
    <row r="100" spans="1:18" x14ac:dyDescent="0.2">
      <c r="A100" s="5">
        <v>43599</v>
      </c>
      <c r="B100" s="12">
        <v>2020</v>
      </c>
      <c r="C100" s="12">
        <v>321</v>
      </c>
      <c r="D100" s="12">
        <v>2341</v>
      </c>
      <c r="F100" s="5">
        <v>44330</v>
      </c>
      <c r="G100" s="12">
        <v>2266</v>
      </c>
      <c r="H100" s="12">
        <v>266</v>
      </c>
      <c r="I100" s="12">
        <v>2532</v>
      </c>
      <c r="K100" s="5">
        <v>43602</v>
      </c>
      <c r="L100" s="5">
        <v>44330</v>
      </c>
      <c r="M100" s="12">
        <v>-910</v>
      </c>
      <c r="N100" s="12">
        <v>-17</v>
      </c>
      <c r="O100" s="12">
        <v>-927</v>
      </c>
      <c r="P100" s="9">
        <v>-0.28652392947103278</v>
      </c>
      <c r="Q100" s="9">
        <v>-6.0070671378091856E-2</v>
      </c>
      <c r="R100" s="13">
        <v>-0.26799653078924546</v>
      </c>
    </row>
    <row r="101" spans="1:18" x14ac:dyDescent="0.2">
      <c r="A101" s="5">
        <v>43600</v>
      </c>
      <c r="B101" s="12">
        <v>2230</v>
      </c>
      <c r="C101" s="12">
        <v>339</v>
      </c>
      <c r="D101" s="12">
        <v>2569</v>
      </c>
      <c r="F101" s="5">
        <v>44331</v>
      </c>
      <c r="G101" s="12">
        <v>3566</v>
      </c>
      <c r="H101" s="12">
        <v>76</v>
      </c>
      <c r="I101" s="12">
        <v>3642</v>
      </c>
      <c r="K101" s="5">
        <v>43603</v>
      </c>
      <c r="L101" s="5">
        <v>44331</v>
      </c>
      <c r="M101" s="12">
        <v>755</v>
      </c>
      <c r="N101" s="12">
        <v>-60</v>
      </c>
      <c r="O101" s="12">
        <v>695</v>
      </c>
      <c r="P101" s="9">
        <v>0.26858769121309134</v>
      </c>
      <c r="Q101" s="9">
        <v>-0.44117647058823528</v>
      </c>
      <c r="R101" s="13">
        <v>0.23583305055989134</v>
      </c>
    </row>
    <row r="102" spans="1:18" x14ac:dyDescent="0.2">
      <c r="A102" s="5">
        <v>43601</v>
      </c>
      <c r="B102" s="12">
        <v>2465</v>
      </c>
      <c r="C102" s="12">
        <v>317</v>
      </c>
      <c r="D102" s="12">
        <v>2782</v>
      </c>
      <c r="F102" s="5">
        <v>44332</v>
      </c>
      <c r="G102" s="12">
        <v>9671</v>
      </c>
      <c r="H102" s="12">
        <v>21</v>
      </c>
      <c r="I102" s="12">
        <v>9692</v>
      </c>
      <c r="K102" s="5">
        <v>43604</v>
      </c>
      <c r="L102" s="5">
        <v>44332</v>
      </c>
      <c r="M102" s="12">
        <v>5849</v>
      </c>
      <c r="N102" s="12">
        <v>-27</v>
      </c>
      <c r="O102" s="12">
        <v>5822</v>
      </c>
      <c r="P102" s="9">
        <v>1.530350601779173</v>
      </c>
      <c r="Q102" s="9">
        <v>-0.5625</v>
      </c>
      <c r="R102" s="13">
        <v>1.5043927648578812</v>
      </c>
    </row>
    <row r="103" spans="1:18" x14ac:dyDescent="0.2">
      <c r="A103" s="5">
        <v>43602</v>
      </c>
      <c r="B103" s="12">
        <v>3176</v>
      </c>
      <c r="C103" s="12">
        <v>283</v>
      </c>
      <c r="D103" s="12">
        <v>3459</v>
      </c>
      <c r="F103" s="5">
        <v>44333</v>
      </c>
      <c r="G103" s="12">
        <v>2686</v>
      </c>
      <c r="H103" s="12">
        <v>289</v>
      </c>
      <c r="I103" s="12">
        <v>2975</v>
      </c>
      <c r="K103" s="5">
        <v>43605</v>
      </c>
      <c r="L103" s="5">
        <v>44333</v>
      </c>
      <c r="M103" s="12">
        <v>593</v>
      </c>
      <c r="N103" s="12">
        <v>22</v>
      </c>
      <c r="O103" s="12">
        <v>615</v>
      </c>
      <c r="P103" s="9">
        <v>0.28332537028189209</v>
      </c>
      <c r="Q103" s="9">
        <v>8.2397003745318331E-2</v>
      </c>
      <c r="R103" s="13">
        <v>0.26059322033898313</v>
      </c>
    </row>
    <row r="104" spans="1:18" x14ac:dyDescent="0.2">
      <c r="A104" s="5">
        <v>43603</v>
      </c>
      <c r="B104" s="12">
        <v>2811</v>
      </c>
      <c r="C104" s="12">
        <v>136</v>
      </c>
      <c r="D104" s="12">
        <v>2947</v>
      </c>
      <c r="F104" s="5">
        <v>44334</v>
      </c>
      <c r="G104" s="12">
        <v>2072</v>
      </c>
      <c r="H104" s="12">
        <v>316</v>
      </c>
      <c r="I104" s="12">
        <v>2388</v>
      </c>
      <c r="K104" s="5">
        <v>43606</v>
      </c>
      <c r="L104" s="5">
        <v>44334</v>
      </c>
      <c r="M104" s="12">
        <v>401</v>
      </c>
      <c r="N104" s="12">
        <v>-3</v>
      </c>
      <c r="O104" s="12">
        <v>398</v>
      </c>
      <c r="P104" s="9">
        <v>0.2399760622381808</v>
      </c>
      <c r="Q104" s="9">
        <v>-9.4043887147335914E-3</v>
      </c>
      <c r="R104" s="13">
        <v>0.19999999999999996</v>
      </c>
    </row>
    <row r="105" spans="1:18" x14ac:dyDescent="0.2">
      <c r="A105" s="5">
        <v>43604</v>
      </c>
      <c r="B105" s="12">
        <v>3822</v>
      </c>
      <c r="C105" s="12">
        <v>48</v>
      </c>
      <c r="D105" s="12">
        <v>3870</v>
      </c>
      <c r="F105" s="5">
        <v>44335</v>
      </c>
      <c r="G105" s="12">
        <v>2303</v>
      </c>
      <c r="H105" s="12">
        <v>267</v>
      </c>
      <c r="I105" s="12">
        <v>2570</v>
      </c>
      <c r="K105" s="5">
        <v>43607</v>
      </c>
      <c r="L105" s="5">
        <v>44335</v>
      </c>
      <c r="M105" s="12">
        <v>411</v>
      </c>
      <c r="N105" s="12">
        <v>-30</v>
      </c>
      <c r="O105" s="12">
        <v>381</v>
      </c>
      <c r="P105" s="9">
        <v>0.21723044397462998</v>
      </c>
      <c r="Q105" s="9">
        <v>-0.10101010101010099</v>
      </c>
      <c r="R105" s="13">
        <v>0.17405207857469174</v>
      </c>
    </row>
    <row r="106" spans="1:18" x14ac:dyDescent="0.2">
      <c r="A106" s="5">
        <v>43605</v>
      </c>
      <c r="B106" s="12">
        <v>2093</v>
      </c>
      <c r="C106" s="12">
        <v>267</v>
      </c>
      <c r="D106" s="12">
        <v>2360</v>
      </c>
      <c r="F106" s="5">
        <v>44336</v>
      </c>
      <c r="G106" s="12">
        <v>2872</v>
      </c>
      <c r="H106" s="12">
        <v>311</v>
      </c>
      <c r="I106" s="12">
        <v>3183</v>
      </c>
      <c r="K106" s="5">
        <v>43608</v>
      </c>
      <c r="L106" s="5">
        <v>44336</v>
      </c>
      <c r="M106" s="12">
        <v>830</v>
      </c>
      <c r="N106" s="12">
        <v>19</v>
      </c>
      <c r="O106" s="12">
        <v>849</v>
      </c>
      <c r="P106" s="9">
        <v>0.40646425073457393</v>
      </c>
      <c r="Q106" s="9">
        <v>6.5068493150684859E-2</v>
      </c>
      <c r="R106" s="13">
        <v>0.36375321336760935</v>
      </c>
    </row>
    <row r="107" spans="1:18" x14ac:dyDescent="0.2">
      <c r="A107" s="5">
        <v>43606</v>
      </c>
      <c r="B107" s="12">
        <v>1671</v>
      </c>
      <c r="C107" s="12">
        <v>319</v>
      </c>
      <c r="D107" s="12">
        <v>1990</v>
      </c>
      <c r="F107" s="5">
        <v>44337</v>
      </c>
      <c r="G107" s="12">
        <v>3605</v>
      </c>
      <c r="H107" s="12">
        <v>258</v>
      </c>
      <c r="I107" s="12">
        <v>3863</v>
      </c>
      <c r="K107" s="5">
        <v>43609</v>
      </c>
      <c r="L107" s="5">
        <v>44337</v>
      </c>
      <c r="M107" s="12">
        <v>854</v>
      </c>
      <c r="N107" s="12">
        <v>-23</v>
      </c>
      <c r="O107" s="12">
        <v>831</v>
      </c>
      <c r="P107" s="9">
        <v>0.31043256997455471</v>
      </c>
      <c r="Q107" s="9">
        <v>-8.185053380782914E-2</v>
      </c>
      <c r="R107" s="13">
        <v>0.27407651715039583</v>
      </c>
    </row>
    <row r="108" spans="1:18" x14ac:dyDescent="0.2">
      <c r="A108" s="5">
        <v>43607</v>
      </c>
      <c r="B108" s="12">
        <v>1892</v>
      </c>
      <c r="C108" s="12">
        <v>297</v>
      </c>
      <c r="D108" s="12">
        <v>2189</v>
      </c>
      <c r="F108" s="5">
        <v>44338</v>
      </c>
      <c r="G108" s="12">
        <v>2897</v>
      </c>
      <c r="H108" s="12">
        <v>87</v>
      </c>
      <c r="I108" s="12">
        <v>2984</v>
      </c>
      <c r="K108" s="5">
        <v>43610</v>
      </c>
      <c r="L108" s="5">
        <v>44338</v>
      </c>
      <c r="M108" s="12">
        <v>-39</v>
      </c>
      <c r="N108" s="12">
        <v>-31</v>
      </c>
      <c r="O108" s="12">
        <v>-70</v>
      </c>
      <c r="P108" s="9">
        <v>-1.3283378746594021E-2</v>
      </c>
      <c r="Q108" s="9">
        <v>-0.26271186440677963</v>
      </c>
      <c r="R108" s="13">
        <v>-2.2920759659463052E-2</v>
      </c>
    </row>
    <row r="109" spans="1:18" x14ac:dyDescent="0.2">
      <c r="A109" s="5">
        <v>43608</v>
      </c>
      <c r="B109" s="12">
        <v>2042</v>
      </c>
      <c r="C109" s="12">
        <v>292</v>
      </c>
      <c r="D109" s="12">
        <v>2334</v>
      </c>
      <c r="F109" s="5">
        <v>44339</v>
      </c>
      <c r="G109" s="12">
        <v>4335</v>
      </c>
      <c r="H109" s="12">
        <v>14</v>
      </c>
      <c r="I109" s="12">
        <v>4349</v>
      </c>
      <c r="K109" s="5">
        <v>43611</v>
      </c>
      <c r="L109" s="5">
        <v>44339</v>
      </c>
      <c r="M109" s="12">
        <v>-811</v>
      </c>
      <c r="N109" s="12">
        <v>-78</v>
      </c>
      <c r="O109" s="12">
        <v>-889</v>
      </c>
      <c r="P109" s="9">
        <v>-0.15759813447337734</v>
      </c>
      <c r="Q109" s="9">
        <v>-0.84782608695652173</v>
      </c>
      <c r="R109" s="13">
        <v>-0.16972126765941198</v>
      </c>
    </row>
    <row r="110" spans="1:18" x14ac:dyDescent="0.2">
      <c r="A110" s="5">
        <v>43609</v>
      </c>
      <c r="B110" s="12">
        <v>2751</v>
      </c>
      <c r="C110" s="12">
        <v>281</v>
      </c>
      <c r="D110" s="12">
        <v>3032</v>
      </c>
      <c r="F110" s="5">
        <v>44340</v>
      </c>
      <c r="G110" s="12">
        <v>9419</v>
      </c>
      <c r="H110" s="12">
        <v>48</v>
      </c>
      <c r="I110" s="12">
        <v>9467</v>
      </c>
      <c r="K110" s="5">
        <v>43612</v>
      </c>
      <c r="L110" s="5">
        <v>44340</v>
      </c>
      <c r="M110" s="12">
        <v>6783</v>
      </c>
      <c r="N110" s="12">
        <v>-206</v>
      </c>
      <c r="O110" s="12">
        <v>6577</v>
      </c>
      <c r="P110" s="9">
        <v>2.5732169954476478</v>
      </c>
      <c r="Q110" s="9">
        <v>-0.8110236220472441</v>
      </c>
      <c r="R110" s="13">
        <v>2.2757785467128029</v>
      </c>
    </row>
    <row r="111" spans="1:18" x14ac:dyDescent="0.2">
      <c r="A111" s="5">
        <v>43610</v>
      </c>
      <c r="B111" s="12">
        <v>2936</v>
      </c>
      <c r="C111" s="12">
        <v>118</v>
      </c>
      <c r="D111" s="12">
        <v>3054</v>
      </c>
      <c r="F111" s="5">
        <v>44341</v>
      </c>
      <c r="G111" s="12">
        <v>2503</v>
      </c>
      <c r="H111" s="12">
        <v>341</v>
      </c>
      <c r="I111" s="12">
        <v>2844</v>
      </c>
      <c r="K111" s="5">
        <v>43613</v>
      </c>
      <c r="L111" s="5">
        <v>44341</v>
      </c>
      <c r="M111" s="12">
        <v>524</v>
      </c>
      <c r="N111" s="12">
        <v>-35</v>
      </c>
      <c r="O111" s="12">
        <v>489</v>
      </c>
      <c r="P111" s="9">
        <v>0.26478019201616987</v>
      </c>
      <c r="Q111" s="9">
        <v>-9.3085106382978733E-2</v>
      </c>
      <c r="R111" s="13">
        <v>0.20764331210191078</v>
      </c>
    </row>
    <row r="112" spans="1:18" x14ac:dyDescent="0.2">
      <c r="A112" s="5">
        <v>43611</v>
      </c>
      <c r="B112" s="12">
        <v>5146</v>
      </c>
      <c r="C112" s="12">
        <v>92</v>
      </c>
      <c r="D112" s="12">
        <v>5238</v>
      </c>
      <c r="F112" s="5">
        <v>44342</v>
      </c>
      <c r="G112" s="12">
        <v>2030</v>
      </c>
      <c r="H112" s="12">
        <v>282</v>
      </c>
      <c r="I112" s="12">
        <v>2312</v>
      </c>
      <c r="K112" s="5">
        <v>43614</v>
      </c>
      <c r="L112" s="5">
        <v>44342</v>
      </c>
      <c r="M112" s="12">
        <v>-176</v>
      </c>
      <c r="N112" s="12">
        <v>-13</v>
      </c>
      <c r="O112" s="12">
        <v>-189</v>
      </c>
      <c r="P112" s="9">
        <v>-7.9782411604714443E-2</v>
      </c>
      <c r="Q112" s="9">
        <v>-4.4067796610169463E-2</v>
      </c>
      <c r="R112" s="13">
        <v>-7.5569772091163556E-2</v>
      </c>
    </row>
    <row r="113" spans="1:18" x14ac:dyDescent="0.2">
      <c r="A113" s="5">
        <v>43612</v>
      </c>
      <c r="B113" s="12">
        <v>2636</v>
      </c>
      <c r="C113" s="12">
        <v>254</v>
      </c>
      <c r="D113" s="12">
        <v>2890</v>
      </c>
      <c r="F113" s="5">
        <v>44343</v>
      </c>
      <c r="G113" s="12">
        <v>2134</v>
      </c>
      <c r="H113" s="12">
        <v>307</v>
      </c>
      <c r="I113" s="12">
        <v>2441</v>
      </c>
      <c r="K113" s="5">
        <v>43615</v>
      </c>
      <c r="L113" s="5">
        <v>44343</v>
      </c>
      <c r="M113" s="12">
        <v>-394</v>
      </c>
      <c r="N113" s="12">
        <v>263</v>
      </c>
      <c r="O113" s="12">
        <v>-131</v>
      </c>
      <c r="P113" s="9">
        <v>-0.15585443037974689</v>
      </c>
      <c r="Q113" s="9">
        <v>5.9772727272727275</v>
      </c>
      <c r="R113" s="13">
        <v>-5.0933125972006166E-2</v>
      </c>
    </row>
    <row r="114" spans="1:18" x14ac:dyDescent="0.2">
      <c r="A114" s="5">
        <v>43613</v>
      </c>
      <c r="B114" s="12">
        <v>1979</v>
      </c>
      <c r="C114" s="12">
        <v>376</v>
      </c>
      <c r="D114" s="12">
        <v>2355</v>
      </c>
      <c r="F114" s="5">
        <v>44344</v>
      </c>
      <c r="G114" s="12">
        <v>2906</v>
      </c>
      <c r="H114" s="12">
        <v>277</v>
      </c>
      <c r="I114" s="12">
        <v>3183</v>
      </c>
      <c r="K114" s="5">
        <v>43616</v>
      </c>
      <c r="L114" s="5">
        <v>44344</v>
      </c>
      <c r="M114" s="12">
        <v>-379</v>
      </c>
      <c r="N114" s="12">
        <v>-7</v>
      </c>
      <c r="O114" s="12">
        <v>-386</v>
      </c>
      <c r="P114" s="9">
        <v>-0.11537290715372905</v>
      </c>
      <c r="Q114" s="9">
        <v>-2.4647887323943629E-2</v>
      </c>
      <c r="R114" s="13">
        <v>-0.10815354441019898</v>
      </c>
    </row>
    <row r="115" spans="1:18" x14ac:dyDescent="0.2">
      <c r="A115" s="5">
        <v>43614</v>
      </c>
      <c r="B115" s="12">
        <v>2206</v>
      </c>
      <c r="C115" s="12">
        <v>295</v>
      </c>
      <c r="D115" s="12">
        <v>2501</v>
      </c>
      <c r="F115" s="5">
        <v>44345</v>
      </c>
      <c r="G115" s="12">
        <v>4473</v>
      </c>
      <c r="H115" s="12">
        <v>114</v>
      </c>
      <c r="I115" s="12">
        <v>4587</v>
      </c>
      <c r="K115" s="5">
        <v>43617</v>
      </c>
      <c r="L115" s="5">
        <v>44345</v>
      </c>
      <c r="M115" s="12">
        <v>-4056</v>
      </c>
      <c r="N115" s="12">
        <v>-71</v>
      </c>
      <c r="O115" s="12">
        <v>-4127</v>
      </c>
      <c r="P115" s="9">
        <v>-0.47555399226169537</v>
      </c>
      <c r="Q115" s="9">
        <v>-0.38378378378378375</v>
      </c>
      <c r="R115" s="13">
        <v>-0.47360569198990132</v>
      </c>
    </row>
    <row r="116" spans="1:18" x14ac:dyDescent="0.2">
      <c r="A116" s="5">
        <v>43615</v>
      </c>
      <c r="B116" s="12">
        <v>2528</v>
      </c>
      <c r="C116" s="12">
        <v>44</v>
      </c>
      <c r="D116" s="12">
        <v>2572</v>
      </c>
      <c r="F116" s="5">
        <v>44346</v>
      </c>
      <c r="G116" s="12">
        <v>6859</v>
      </c>
      <c r="H116" s="12">
        <v>23</v>
      </c>
      <c r="I116" s="12">
        <v>6882</v>
      </c>
      <c r="K116" s="5">
        <v>43618</v>
      </c>
      <c r="L116" s="5">
        <v>44346</v>
      </c>
      <c r="M116" s="12">
        <v>-7368</v>
      </c>
      <c r="N116" s="12">
        <v>-175</v>
      </c>
      <c r="O116" s="12">
        <v>-7543</v>
      </c>
      <c r="P116" s="9">
        <v>-0.51788852182469958</v>
      </c>
      <c r="Q116" s="9">
        <v>-0.88383838383838387</v>
      </c>
      <c r="R116" s="13">
        <v>-0.52291161178509538</v>
      </c>
    </row>
    <row r="117" spans="1:18" x14ac:dyDescent="0.2">
      <c r="A117" s="5">
        <v>43616</v>
      </c>
      <c r="B117" s="12">
        <v>3285</v>
      </c>
      <c r="C117" s="12">
        <v>284</v>
      </c>
      <c r="D117" s="12">
        <v>3569</v>
      </c>
      <c r="F117" s="5">
        <v>44347</v>
      </c>
      <c r="G117" s="12">
        <v>2540</v>
      </c>
      <c r="H117" s="12">
        <v>241</v>
      </c>
      <c r="I117" s="12">
        <v>2781</v>
      </c>
      <c r="K117" s="5">
        <v>43619</v>
      </c>
      <c r="L117" s="5">
        <v>44347</v>
      </c>
      <c r="M117" s="12">
        <f t="shared" ref="M117:O117" si="4">G117-B120</f>
        <v>-2693</v>
      </c>
      <c r="N117" s="12">
        <f t="shared" si="4"/>
        <v>-93</v>
      </c>
      <c r="O117" s="12">
        <f t="shared" si="4"/>
        <v>-2786</v>
      </c>
      <c r="P117" s="9">
        <f t="shared" ref="P117:R117" si="5">G117/B120-1</f>
        <v>-0.51461876552646668</v>
      </c>
      <c r="Q117" s="9">
        <f t="shared" si="5"/>
        <v>-0.27844311377245512</v>
      </c>
      <c r="R117" s="13">
        <f t="shared" si="5"/>
        <v>-0.50044907490569424</v>
      </c>
    </row>
    <row r="118" spans="1:18" x14ac:dyDescent="0.2">
      <c r="A118" s="5">
        <v>43617</v>
      </c>
      <c r="B118" s="12">
        <v>8529</v>
      </c>
      <c r="C118" s="12">
        <v>185</v>
      </c>
      <c r="D118" s="12">
        <v>8714</v>
      </c>
      <c r="F118" s="5"/>
      <c r="G118" s="12"/>
      <c r="H118" s="12"/>
      <c r="I118" s="12"/>
      <c r="K118" s="5"/>
      <c r="L118" s="5"/>
      <c r="M118" s="12"/>
      <c r="N118" s="12"/>
      <c r="O118" s="12"/>
      <c r="P118" s="9"/>
      <c r="Q118" s="9"/>
      <c r="R118" s="13"/>
    </row>
    <row r="119" spans="1:18" x14ac:dyDescent="0.2">
      <c r="A119" s="5">
        <v>43618</v>
      </c>
      <c r="B119" s="12">
        <v>14227</v>
      </c>
      <c r="C119" s="12">
        <v>198</v>
      </c>
      <c r="D119" s="12">
        <v>14425</v>
      </c>
      <c r="F119" s="5"/>
      <c r="G119" s="12"/>
      <c r="H119" s="12"/>
      <c r="I119" s="12"/>
      <c r="K119" s="5"/>
      <c r="L119" s="5"/>
      <c r="M119" s="12"/>
      <c r="N119" s="12"/>
      <c r="O119" s="12"/>
      <c r="P119" s="9"/>
      <c r="Q119" s="9"/>
      <c r="R119" s="13"/>
    </row>
    <row r="120" spans="1:18" x14ac:dyDescent="0.2">
      <c r="A120" s="5">
        <v>43619</v>
      </c>
      <c r="B120" s="12">
        <v>5233</v>
      </c>
      <c r="C120" s="12">
        <v>334</v>
      </c>
      <c r="D120" s="12">
        <v>5567</v>
      </c>
      <c r="F120" s="5"/>
      <c r="G120" s="12"/>
      <c r="H120" s="12"/>
      <c r="I120" s="12"/>
      <c r="K120" s="5"/>
      <c r="L120" s="5"/>
      <c r="M120" s="12"/>
      <c r="N120" s="12"/>
      <c r="O120" s="12"/>
      <c r="P120" s="9"/>
      <c r="Q120" s="9"/>
      <c r="R120" s="13"/>
    </row>
    <row r="121" spans="1:18" x14ac:dyDescent="0.2">
      <c r="A121" s="5"/>
      <c r="B121" s="12"/>
      <c r="C121" s="12"/>
      <c r="D121" s="12"/>
      <c r="F121" s="5"/>
      <c r="G121" s="12"/>
      <c r="H121" s="12"/>
      <c r="I121" s="12"/>
      <c r="K121" s="5"/>
      <c r="L121" s="5"/>
      <c r="M121" s="12"/>
      <c r="N121" s="12"/>
      <c r="O121" s="12"/>
      <c r="P121" s="9"/>
      <c r="Q121" s="9"/>
      <c r="R121" s="13"/>
    </row>
  </sheetData>
  <mergeCells count="11">
    <mergeCell ref="A85:A86"/>
    <mergeCell ref="F85:F86"/>
    <mergeCell ref="K85:L86"/>
    <mergeCell ref="A47:A48"/>
    <mergeCell ref="F47:F48"/>
    <mergeCell ref="K47:L48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R121"/>
  <sheetViews>
    <sheetView zoomScale="80" zoomScaleNormal="8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140625" customWidth="1"/>
    <col min="6" max="6" width="28.5703125" bestFit="1" customWidth="1"/>
    <col min="7" max="7" width="11.85546875" customWidth="1"/>
    <col min="8" max="8" width="7.42578125" bestFit="1" customWidth="1"/>
    <col min="9" max="9" width="15.85546875" bestFit="1" customWidth="1"/>
    <col min="10" max="10" width="0.85546875" customWidth="1"/>
    <col min="11" max="12" width="24.5703125" bestFit="1" customWidth="1"/>
    <col min="13" max="13" width="11.5703125" customWidth="1"/>
    <col min="14" max="14" width="7.42578125" bestFit="1" customWidth="1"/>
    <col min="15" max="15" width="15.85546875" bestFit="1" customWidth="1"/>
    <col min="16" max="16" width="11.5703125" customWidth="1"/>
    <col min="17" max="17" width="7.28515625" bestFit="1" customWidth="1"/>
    <col min="18" max="18" width="15.85546875" style="10" bestFit="1" customWidth="1"/>
  </cols>
  <sheetData>
    <row r="1" spans="1:18" ht="15.75" x14ac:dyDescent="0.25">
      <c r="A1" s="11" t="s">
        <v>54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4" t="s">
        <v>47</v>
      </c>
      <c r="B6" s="25"/>
      <c r="C6" s="25"/>
      <c r="D6" s="25"/>
      <c r="E6" s="17"/>
      <c r="F6" s="17"/>
      <c r="G6" s="17"/>
    </row>
    <row r="7" spans="1:18" ht="15" x14ac:dyDescent="0.2">
      <c r="A7" s="24" t="s">
        <v>48</v>
      </c>
      <c r="B7" s="25"/>
      <c r="C7" s="25"/>
    </row>
    <row r="9" spans="1:18" ht="12.95" customHeight="1" x14ac:dyDescent="0.2">
      <c r="A9" s="26" t="s">
        <v>1</v>
      </c>
      <c r="B9" s="6"/>
      <c r="C9" s="6"/>
      <c r="D9" s="3"/>
      <c r="F9" s="26" t="s">
        <v>1</v>
      </c>
      <c r="G9" s="6"/>
      <c r="H9" s="6"/>
      <c r="I9" s="3"/>
      <c r="K9" s="26" t="s">
        <v>3</v>
      </c>
      <c r="L9" s="26"/>
      <c r="M9" s="6"/>
      <c r="N9" s="6"/>
      <c r="O9" s="3"/>
      <c r="P9" s="6"/>
      <c r="Q9" s="6"/>
      <c r="R9" s="3"/>
    </row>
    <row r="10" spans="1:18" ht="25.5" x14ac:dyDescent="0.2">
      <c r="A10" s="27"/>
      <c r="B10" s="8" t="s">
        <v>38</v>
      </c>
      <c r="C10" s="4" t="s">
        <v>2</v>
      </c>
      <c r="D10" s="4" t="s">
        <v>0</v>
      </c>
      <c r="F10" s="27"/>
      <c r="G10" s="8" t="s">
        <v>38</v>
      </c>
      <c r="H10" s="4" t="s">
        <v>2</v>
      </c>
      <c r="I10" s="4" t="s">
        <v>0</v>
      </c>
      <c r="K10" s="27"/>
      <c r="L10" s="27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43586</v>
      </c>
      <c r="B11" s="12">
        <v>61703</v>
      </c>
      <c r="C11" s="12">
        <v>1059</v>
      </c>
      <c r="D11" s="12">
        <v>62762</v>
      </c>
      <c r="F11" s="5">
        <v>44317</v>
      </c>
      <c r="G11" s="12">
        <v>42602</v>
      </c>
      <c r="H11" s="12">
        <v>617</v>
      </c>
      <c r="I11" s="12">
        <v>43219</v>
      </c>
      <c r="K11" s="5">
        <v>43589</v>
      </c>
      <c r="L11" s="5">
        <v>44317</v>
      </c>
      <c r="M11" s="12">
        <v>-38113</v>
      </c>
      <c r="N11" s="12">
        <v>-1262</v>
      </c>
      <c r="O11" s="12">
        <v>-39375</v>
      </c>
      <c r="P11" s="9">
        <v>-0.47219228148423464</v>
      </c>
      <c r="Q11" s="9">
        <v>-0.67163384779137836</v>
      </c>
      <c r="R11" s="13">
        <v>-0.47672954451897231</v>
      </c>
    </row>
    <row r="12" spans="1:18" x14ac:dyDescent="0.2">
      <c r="A12" s="5">
        <v>43587</v>
      </c>
      <c r="B12" s="12">
        <v>81143</v>
      </c>
      <c r="C12" s="12">
        <v>7656</v>
      </c>
      <c r="D12" s="12">
        <v>88799</v>
      </c>
      <c r="F12" s="5">
        <v>44318</v>
      </c>
      <c r="G12" s="12">
        <v>40740</v>
      </c>
      <c r="H12" s="12">
        <v>216</v>
      </c>
      <c r="I12" s="12">
        <v>40956</v>
      </c>
      <c r="K12" s="5">
        <v>43590</v>
      </c>
      <c r="L12" s="5">
        <v>44318</v>
      </c>
      <c r="M12" s="12">
        <v>-33179</v>
      </c>
      <c r="N12" s="12">
        <v>-269</v>
      </c>
      <c r="O12" s="12">
        <v>-33448</v>
      </c>
      <c r="P12" s="9">
        <v>-0.44885618041369613</v>
      </c>
      <c r="Q12" s="9">
        <v>-0.55463917525773199</v>
      </c>
      <c r="R12" s="13">
        <v>-0.44954572334820708</v>
      </c>
    </row>
    <row r="13" spans="1:18" x14ac:dyDescent="0.2">
      <c r="A13" s="5">
        <v>43588</v>
      </c>
      <c r="B13" s="12">
        <v>89389</v>
      </c>
      <c r="C13" s="12">
        <v>7032</v>
      </c>
      <c r="D13" s="12">
        <v>96421</v>
      </c>
      <c r="F13" s="5">
        <v>44319</v>
      </c>
      <c r="G13" s="12">
        <v>68819</v>
      </c>
      <c r="H13" s="12">
        <v>7179</v>
      </c>
      <c r="I13" s="12">
        <v>75998</v>
      </c>
      <c r="K13" s="5">
        <v>43591</v>
      </c>
      <c r="L13" s="5">
        <v>44319</v>
      </c>
      <c r="M13" s="12">
        <v>-12811</v>
      </c>
      <c r="N13" s="12">
        <v>-212</v>
      </c>
      <c r="O13" s="12">
        <v>-13023</v>
      </c>
      <c r="P13" s="9">
        <v>-0.1569398505451427</v>
      </c>
      <c r="Q13" s="9">
        <v>-2.8683534027871715E-2</v>
      </c>
      <c r="R13" s="13">
        <v>-0.14629132451893379</v>
      </c>
    </row>
    <row r="14" spans="1:18" x14ac:dyDescent="0.2">
      <c r="A14" s="5">
        <v>43589</v>
      </c>
      <c r="B14" s="12">
        <v>80715</v>
      </c>
      <c r="C14" s="12">
        <v>1879</v>
      </c>
      <c r="D14" s="12">
        <v>82594</v>
      </c>
      <c r="F14" s="5">
        <v>44320</v>
      </c>
      <c r="G14" s="12">
        <v>68220</v>
      </c>
      <c r="H14" s="12">
        <v>7735</v>
      </c>
      <c r="I14" s="12">
        <v>75955</v>
      </c>
      <c r="K14" s="5">
        <v>43592</v>
      </c>
      <c r="L14" s="5">
        <v>44320</v>
      </c>
      <c r="M14" s="12">
        <v>-11204</v>
      </c>
      <c r="N14" s="12">
        <v>-514</v>
      </c>
      <c r="O14" s="12">
        <v>-11718</v>
      </c>
      <c r="P14" s="9">
        <v>-0.14106567284448024</v>
      </c>
      <c r="Q14" s="9">
        <v>-6.231058310098192E-2</v>
      </c>
      <c r="R14" s="13">
        <v>-0.13365574350142007</v>
      </c>
    </row>
    <row r="15" spans="1:18" x14ac:dyDescent="0.2">
      <c r="A15" s="5">
        <v>43590</v>
      </c>
      <c r="B15" s="12">
        <v>73919</v>
      </c>
      <c r="C15" s="12">
        <v>485</v>
      </c>
      <c r="D15" s="12">
        <v>74404</v>
      </c>
      <c r="F15" s="5">
        <v>44321</v>
      </c>
      <c r="G15" s="12">
        <v>68182</v>
      </c>
      <c r="H15" s="12">
        <v>7832</v>
      </c>
      <c r="I15" s="12">
        <v>76014</v>
      </c>
      <c r="K15" s="5">
        <v>43593</v>
      </c>
      <c r="L15" s="5">
        <v>44321</v>
      </c>
      <c r="M15" s="12">
        <v>-9920</v>
      </c>
      <c r="N15" s="12">
        <v>1114</v>
      </c>
      <c r="O15" s="12">
        <v>-8806</v>
      </c>
      <c r="P15" s="9">
        <v>-0.12701339274282353</v>
      </c>
      <c r="Q15" s="9">
        <v>0.16582316165525457</v>
      </c>
      <c r="R15" s="13">
        <v>-0.10381985380806413</v>
      </c>
    </row>
    <row r="16" spans="1:18" x14ac:dyDescent="0.2">
      <c r="A16" s="5">
        <v>43591</v>
      </c>
      <c r="B16" s="12">
        <v>81630</v>
      </c>
      <c r="C16" s="12">
        <v>7391</v>
      </c>
      <c r="D16" s="12">
        <v>89021</v>
      </c>
      <c r="F16" s="5">
        <v>44322</v>
      </c>
      <c r="G16" s="12">
        <v>68775</v>
      </c>
      <c r="H16" s="12">
        <v>7745</v>
      </c>
      <c r="I16" s="12">
        <v>76520</v>
      </c>
      <c r="K16" s="5">
        <v>43594</v>
      </c>
      <c r="L16" s="5">
        <v>44322</v>
      </c>
      <c r="M16" s="12">
        <v>-13698</v>
      </c>
      <c r="N16" s="12">
        <v>-227</v>
      </c>
      <c r="O16" s="12">
        <v>-13925</v>
      </c>
      <c r="P16" s="9">
        <v>-0.16609072059946894</v>
      </c>
      <c r="Q16" s="9">
        <v>-2.847466131460108E-2</v>
      </c>
      <c r="R16" s="13">
        <v>-0.15396097075570792</v>
      </c>
    </row>
    <row r="17" spans="1:18" x14ac:dyDescent="0.2">
      <c r="A17" s="5">
        <v>43592</v>
      </c>
      <c r="B17" s="12">
        <v>79424</v>
      </c>
      <c r="C17" s="12">
        <v>8249</v>
      </c>
      <c r="D17" s="12">
        <v>87673</v>
      </c>
      <c r="F17" s="5">
        <v>44323</v>
      </c>
      <c r="G17" s="12">
        <v>75197</v>
      </c>
      <c r="H17" s="12">
        <v>7108</v>
      </c>
      <c r="I17" s="12">
        <v>82305</v>
      </c>
      <c r="K17" s="5">
        <v>43595</v>
      </c>
      <c r="L17" s="5">
        <v>44323</v>
      </c>
      <c r="M17" s="12">
        <v>-15633</v>
      </c>
      <c r="N17" s="12">
        <v>-339</v>
      </c>
      <c r="O17" s="12">
        <v>-15972</v>
      </c>
      <c r="P17" s="9">
        <v>-0.17211273808213146</v>
      </c>
      <c r="Q17" s="9">
        <v>-4.5521686585202059E-2</v>
      </c>
      <c r="R17" s="13">
        <v>-0.16252022345004424</v>
      </c>
    </row>
    <row r="18" spans="1:18" x14ac:dyDescent="0.2">
      <c r="A18" s="5">
        <v>43593</v>
      </c>
      <c r="B18" s="12">
        <v>78102</v>
      </c>
      <c r="C18" s="12">
        <v>6718</v>
      </c>
      <c r="D18" s="12">
        <v>84820</v>
      </c>
      <c r="F18" s="5">
        <v>44324</v>
      </c>
      <c r="G18" s="12">
        <v>55656</v>
      </c>
      <c r="H18" s="12">
        <v>1685</v>
      </c>
      <c r="I18" s="12">
        <v>57341</v>
      </c>
      <c r="K18" s="5">
        <v>43596</v>
      </c>
      <c r="L18" s="5">
        <v>44324</v>
      </c>
      <c r="M18" s="12">
        <v>-23965</v>
      </c>
      <c r="N18" s="12">
        <v>-324</v>
      </c>
      <c r="O18" s="12">
        <v>-24289</v>
      </c>
      <c r="P18" s="9">
        <v>-0.30098843269991582</v>
      </c>
      <c r="Q18" s="9">
        <v>-0.16127426580388249</v>
      </c>
      <c r="R18" s="13">
        <v>-0.29754992037241212</v>
      </c>
    </row>
    <row r="19" spans="1:18" x14ac:dyDescent="0.2">
      <c r="A19" s="5">
        <v>43594</v>
      </c>
      <c r="B19" s="12">
        <v>82473</v>
      </c>
      <c r="C19" s="12">
        <v>7972</v>
      </c>
      <c r="D19" s="12">
        <v>90445</v>
      </c>
      <c r="F19" s="5">
        <v>44325</v>
      </c>
      <c r="G19" s="12">
        <v>49494</v>
      </c>
      <c r="H19" s="12">
        <v>209</v>
      </c>
      <c r="I19" s="12">
        <v>49703</v>
      </c>
      <c r="K19" s="5">
        <v>43597</v>
      </c>
      <c r="L19" s="5">
        <v>44325</v>
      </c>
      <c r="M19" s="12">
        <v>-18837</v>
      </c>
      <c r="N19" s="12">
        <v>-245</v>
      </c>
      <c r="O19" s="12">
        <v>-19082</v>
      </c>
      <c r="P19" s="9">
        <v>-0.27567282785265834</v>
      </c>
      <c r="Q19" s="9">
        <v>-0.53964757709251099</v>
      </c>
      <c r="R19" s="13">
        <v>-0.27741513411354224</v>
      </c>
    </row>
    <row r="20" spans="1:18" x14ac:dyDescent="0.2">
      <c r="A20" s="5">
        <v>43595</v>
      </c>
      <c r="B20" s="12">
        <v>90830</v>
      </c>
      <c r="C20" s="12">
        <v>7447</v>
      </c>
      <c r="D20" s="12">
        <v>98277</v>
      </c>
      <c r="F20" s="5">
        <v>44326</v>
      </c>
      <c r="G20" s="12">
        <v>67874</v>
      </c>
      <c r="H20" s="12">
        <v>7194</v>
      </c>
      <c r="I20" s="12">
        <v>75068</v>
      </c>
      <c r="K20" s="5">
        <v>43598</v>
      </c>
      <c r="L20" s="5">
        <v>44326</v>
      </c>
      <c r="M20" s="12">
        <v>-11695</v>
      </c>
      <c r="N20" s="12">
        <v>-385</v>
      </c>
      <c r="O20" s="12">
        <v>-12080</v>
      </c>
      <c r="P20" s="9">
        <v>-0.1469793512548857</v>
      </c>
      <c r="Q20" s="9">
        <v>-5.0798258345428171E-2</v>
      </c>
      <c r="R20" s="13">
        <v>-0.13861477027585256</v>
      </c>
    </row>
    <row r="21" spans="1:18" x14ac:dyDescent="0.2">
      <c r="A21" s="5">
        <v>43596</v>
      </c>
      <c r="B21" s="12">
        <v>79621</v>
      </c>
      <c r="C21" s="12">
        <v>2009</v>
      </c>
      <c r="D21" s="12">
        <v>81630</v>
      </c>
      <c r="F21" s="5">
        <v>44327</v>
      </c>
      <c r="G21" s="12">
        <v>69042</v>
      </c>
      <c r="H21" s="12">
        <v>8134</v>
      </c>
      <c r="I21" s="12">
        <v>77176</v>
      </c>
      <c r="K21" s="5">
        <v>43599</v>
      </c>
      <c r="L21" s="5">
        <v>44327</v>
      </c>
      <c r="M21" s="12">
        <v>-10761</v>
      </c>
      <c r="N21" s="12">
        <v>-21</v>
      </c>
      <c r="O21" s="12">
        <v>-10782</v>
      </c>
      <c r="P21" s="9">
        <v>-0.13484455471598811</v>
      </c>
      <c r="Q21" s="9">
        <v>-2.5751072961373023E-3</v>
      </c>
      <c r="R21" s="13">
        <v>-0.1225812319516133</v>
      </c>
    </row>
    <row r="22" spans="1:18" x14ac:dyDescent="0.2">
      <c r="A22" s="5">
        <v>43597</v>
      </c>
      <c r="B22" s="12">
        <v>68331</v>
      </c>
      <c r="C22" s="12">
        <v>454</v>
      </c>
      <c r="D22" s="12">
        <v>68785</v>
      </c>
      <c r="F22" s="5">
        <v>44328</v>
      </c>
      <c r="G22" s="12">
        <v>79268</v>
      </c>
      <c r="H22" s="12">
        <v>7635</v>
      </c>
      <c r="I22" s="12">
        <v>86903</v>
      </c>
      <c r="K22" s="5">
        <v>43600</v>
      </c>
      <c r="L22" s="5">
        <v>44328</v>
      </c>
      <c r="M22" s="12">
        <v>-2893</v>
      </c>
      <c r="N22" s="12">
        <v>-659</v>
      </c>
      <c r="O22" s="12">
        <v>-3552</v>
      </c>
      <c r="P22" s="9">
        <v>-3.5211353318484462E-2</v>
      </c>
      <c r="Q22" s="9">
        <v>-7.9455027730889749E-2</v>
      </c>
      <c r="R22" s="13">
        <v>-3.9268144381183978E-2</v>
      </c>
    </row>
    <row r="23" spans="1:18" x14ac:dyDescent="0.2">
      <c r="A23" s="5">
        <v>43598</v>
      </c>
      <c r="B23" s="12">
        <v>79569</v>
      </c>
      <c r="C23" s="12">
        <v>7579</v>
      </c>
      <c r="D23" s="12">
        <v>87148</v>
      </c>
      <c r="F23" s="5">
        <v>44329</v>
      </c>
      <c r="G23" s="12">
        <v>48469</v>
      </c>
      <c r="H23" s="12">
        <v>350</v>
      </c>
      <c r="I23" s="12">
        <v>48819</v>
      </c>
      <c r="K23" s="5">
        <v>43601</v>
      </c>
      <c r="L23" s="5">
        <v>44329</v>
      </c>
      <c r="M23" s="12">
        <v>-33393</v>
      </c>
      <c r="N23" s="12">
        <v>-7159</v>
      </c>
      <c r="O23" s="12">
        <v>-40552</v>
      </c>
      <c r="P23" s="9">
        <v>-0.40791820380640587</v>
      </c>
      <c r="Q23" s="9">
        <v>-0.95338926621387665</v>
      </c>
      <c r="R23" s="13">
        <v>-0.45374897897528277</v>
      </c>
    </row>
    <row r="24" spans="1:18" x14ac:dyDescent="0.2">
      <c r="A24" s="5">
        <v>43599</v>
      </c>
      <c r="B24" s="12">
        <v>79803</v>
      </c>
      <c r="C24" s="12">
        <v>8155</v>
      </c>
      <c r="D24" s="12">
        <v>87958</v>
      </c>
      <c r="F24" s="5">
        <v>44330</v>
      </c>
      <c r="G24" s="12">
        <v>67930</v>
      </c>
      <c r="H24" s="12">
        <v>5712</v>
      </c>
      <c r="I24" s="12">
        <v>73642</v>
      </c>
      <c r="K24" s="5">
        <v>43602</v>
      </c>
      <c r="L24" s="5">
        <v>44330</v>
      </c>
      <c r="M24" s="12">
        <v>-24478</v>
      </c>
      <c r="N24" s="12">
        <v>-1230</v>
      </c>
      <c r="O24" s="12">
        <v>-25708</v>
      </c>
      <c r="P24" s="9">
        <v>-0.26489048567223616</v>
      </c>
      <c r="Q24" s="9">
        <v>-0.17718236819360411</v>
      </c>
      <c r="R24" s="13">
        <v>-0.25876195269250124</v>
      </c>
    </row>
    <row r="25" spans="1:18" x14ac:dyDescent="0.2">
      <c r="A25" s="5">
        <v>43600</v>
      </c>
      <c r="B25" s="12">
        <v>82161</v>
      </c>
      <c r="C25" s="12">
        <v>8294</v>
      </c>
      <c r="D25" s="12">
        <v>90455</v>
      </c>
      <c r="F25" s="5">
        <v>44331</v>
      </c>
      <c r="G25" s="12">
        <v>57710</v>
      </c>
      <c r="H25" s="12">
        <v>1632</v>
      </c>
      <c r="I25" s="12">
        <v>59342</v>
      </c>
      <c r="K25" s="5">
        <v>43603</v>
      </c>
      <c r="L25" s="5">
        <v>44331</v>
      </c>
      <c r="M25" s="12">
        <v>-22289</v>
      </c>
      <c r="N25" s="12">
        <v>-385</v>
      </c>
      <c r="O25" s="12">
        <v>-22674</v>
      </c>
      <c r="P25" s="9">
        <v>-0.27861598269978372</v>
      </c>
      <c r="Q25" s="9">
        <v>-0.19087754090233022</v>
      </c>
      <c r="R25" s="13">
        <v>-0.27645825204838081</v>
      </c>
    </row>
    <row r="26" spans="1:18" x14ac:dyDescent="0.2">
      <c r="A26" s="5">
        <v>43601</v>
      </c>
      <c r="B26" s="12">
        <v>81862</v>
      </c>
      <c r="C26" s="12">
        <v>7509</v>
      </c>
      <c r="D26" s="12">
        <v>89371</v>
      </c>
      <c r="F26" s="5">
        <v>44332</v>
      </c>
      <c r="G26" s="12">
        <v>53690</v>
      </c>
      <c r="H26" s="12">
        <v>275</v>
      </c>
      <c r="I26" s="12">
        <v>53965</v>
      </c>
      <c r="K26" s="5">
        <v>43604</v>
      </c>
      <c r="L26" s="5">
        <v>44332</v>
      </c>
      <c r="M26" s="12">
        <v>-12503</v>
      </c>
      <c r="N26" s="12">
        <v>-184</v>
      </c>
      <c r="O26" s="12">
        <v>-12687</v>
      </c>
      <c r="P26" s="9">
        <v>-0.18888704243651144</v>
      </c>
      <c r="Q26" s="9">
        <v>-0.40087145969498905</v>
      </c>
      <c r="R26" s="13">
        <v>-0.19034687631278879</v>
      </c>
    </row>
    <row r="27" spans="1:18" x14ac:dyDescent="0.2">
      <c r="A27" s="5">
        <v>43602</v>
      </c>
      <c r="B27" s="12">
        <v>92408</v>
      </c>
      <c r="C27" s="12">
        <v>6942</v>
      </c>
      <c r="D27" s="12">
        <v>99350</v>
      </c>
      <c r="F27" s="5">
        <v>44333</v>
      </c>
      <c r="G27" s="12">
        <v>73116</v>
      </c>
      <c r="H27" s="12">
        <v>7070</v>
      </c>
      <c r="I27" s="12">
        <v>80186</v>
      </c>
      <c r="K27" s="5">
        <v>43605</v>
      </c>
      <c r="L27" s="5">
        <v>44333</v>
      </c>
      <c r="M27" s="12">
        <v>-5681</v>
      </c>
      <c r="N27" s="12">
        <v>14</v>
      </c>
      <c r="O27" s="12">
        <v>-5667</v>
      </c>
      <c r="P27" s="9">
        <v>-7.2096653425891888E-2</v>
      </c>
      <c r="Q27" s="9">
        <v>1.9841269841269771E-3</v>
      </c>
      <c r="R27" s="13">
        <v>-6.6008176767265003E-2</v>
      </c>
    </row>
    <row r="28" spans="1:18" x14ac:dyDescent="0.2">
      <c r="A28" s="5">
        <v>43603</v>
      </c>
      <c r="B28" s="12">
        <v>79999</v>
      </c>
      <c r="C28" s="12">
        <v>2017</v>
      </c>
      <c r="D28" s="12">
        <v>82016</v>
      </c>
      <c r="F28" s="5">
        <v>44334</v>
      </c>
      <c r="G28" s="12">
        <v>74358</v>
      </c>
      <c r="H28" s="12">
        <v>8039</v>
      </c>
      <c r="I28" s="12">
        <v>82397</v>
      </c>
      <c r="K28" s="5">
        <v>43606</v>
      </c>
      <c r="L28" s="5">
        <v>44334</v>
      </c>
      <c r="M28" s="12">
        <v>-3091</v>
      </c>
      <c r="N28" s="12">
        <v>68</v>
      </c>
      <c r="O28" s="12">
        <v>-3023</v>
      </c>
      <c r="P28" s="9">
        <v>-3.991013441103175E-2</v>
      </c>
      <c r="Q28" s="9">
        <v>8.5309246016811446E-3</v>
      </c>
      <c r="R28" s="13">
        <v>-3.5389838445328947E-2</v>
      </c>
    </row>
    <row r="29" spans="1:18" x14ac:dyDescent="0.2">
      <c r="A29" s="5">
        <v>43604</v>
      </c>
      <c r="B29" s="12">
        <v>66193</v>
      </c>
      <c r="C29" s="12">
        <v>459</v>
      </c>
      <c r="D29" s="12">
        <v>66652</v>
      </c>
      <c r="F29" s="5">
        <v>44335</v>
      </c>
      <c r="G29" s="12">
        <v>73075</v>
      </c>
      <c r="H29" s="12">
        <v>7340</v>
      </c>
      <c r="I29" s="12">
        <v>80415</v>
      </c>
      <c r="K29" s="5">
        <v>43607</v>
      </c>
      <c r="L29" s="5">
        <v>44335</v>
      </c>
      <c r="M29" s="12">
        <v>-8056</v>
      </c>
      <c r="N29" s="12">
        <v>-729</v>
      </c>
      <c r="O29" s="12">
        <v>-8785</v>
      </c>
      <c r="P29" s="9">
        <v>-9.9296199972883414E-2</v>
      </c>
      <c r="Q29" s="9">
        <v>-9.0345767753129302E-2</v>
      </c>
      <c r="R29" s="13">
        <v>-9.848654708520177E-2</v>
      </c>
    </row>
    <row r="30" spans="1:18" x14ac:dyDescent="0.2">
      <c r="A30" s="5">
        <v>43605</v>
      </c>
      <c r="B30" s="12">
        <v>78797</v>
      </c>
      <c r="C30" s="12">
        <v>7056</v>
      </c>
      <c r="D30" s="12">
        <v>85853</v>
      </c>
      <c r="F30" s="5">
        <v>44336</v>
      </c>
      <c r="G30" s="12">
        <v>76061</v>
      </c>
      <c r="H30" s="12">
        <v>8018</v>
      </c>
      <c r="I30" s="12">
        <v>84079</v>
      </c>
      <c r="K30" s="5">
        <v>43608</v>
      </c>
      <c r="L30" s="5">
        <v>44336</v>
      </c>
      <c r="M30" s="12">
        <v>-4917</v>
      </c>
      <c r="N30" s="12">
        <v>32</v>
      </c>
      <c r="O30" s="12">
        <v>-4885</v>
      </c>
      <c r="P30" s="9">
        <v>-6.0720195608683802E-2</v>
      </c>
      <c r="Q30" s="9">
        <v>4.0070122714750411E-3</v>
      </c>
      <c r="R30" s="13">
        <v>-5.490985117575653E-2</v>
      </c>
    </row>
    <row r="31" spans="1:18" x14ac:dyDescent="0.2">
      <c r="A31" s="5">
        <v>43606</v>
      </c>
      <c r="B31" s="12">
        <v>77449</v>
      </c>
      <c r="C31" s="12">
        <v>7971</v>
      </c>
      <c r="D31" s="12">
        <v>85420</v>
      </c>
      <c r="F31" s="5">
        <v>44337</v>
      </c>
      <c r="G31" s="12">
        <v>83904</v>
      </c>
      <c r="H31" s="12">
        <v>7072</v>
      </c>
      <c r="I31" s="12">
        <v>90976</v>
      </c>
      <c r="K31" s="5">
        <v>43609</v>
      </c>
      <c r="L31" s="5">
        <v>44337</v>
      </c>
      <c r="M31" s="12">
        <v>-8810</v>
      </c>
      <c r="N31" s="12">
        <v>-111</v>
      </c>
      <c r="O31" s="12">
        <v>-8921</v>
      </c>
      <c r="P31" s="9">
        <v>-9.5023405310956321E-2</v>
      </c>
      <c r="Q31" s="9">
        <v>-1.5453153278574439E-2</v>
      </c>
      <c r="R31" s="13">
        <v>-8.9301981040471712E-2</v>
      </c>
    </row>
    <row r="32" spans="1:18" x14ac:dyDescent="0.2">
      <c r="A32" s="5">
        <v>43607</v>
      </c>
      <c r="B32" s="12">
        <v>81131</v>
      </c>
      <c r="C32" s="12">
        <v>8069</v>
      </c>
      <c r="D32" s="12">
        <v>89200</v>
      </c>
      <c r="F32" s="5">
        <v>44338</v>
      </c>
      <c r="G32" s="12">
        <v>71787</v>
      </c>
      <c r="H32" s="12">
        <v>1967</v>
      </c>
      <c r="I32" s="12">
        <v>73754</v>
      </c>
      <c r="K32" s="5">
        <v>43610</v>
      </c>
      <c r="L32" s="5">
        <v>44338</v>
      </c>
      <c r="M32" s="12">
        <v>-11913</v>
      </c>
      <c r="N32" s="12">
        <v>2</v>
      </c>
      <c r="O32" s="12">
        <v>-11911</v>
      </c>
      <c r="P32" s="9">
        <v>-0.14232974910394269</v>
      </c>
      <c r="Q32" s="9">
        <v>1.0178117048345037E-3</v>
      </c>
      <c r="R32" s="13">
        <v>-0.1390416155956341</v>
      </c>
    </row>
    <row r="33" spans="1:18" x14ac:dyDescent="0.2">
      <c r="A33" s="5">
        <v>43608</v>
      </c>
      <c r="B33" s="12">
        <v>80978</v>
      </c>
      <c r="C33" s="12">
        <v>7986</v>
      </c>
      <c r="D33" s="12">
        <v>88964</v>
      </c>
      <c r="F33" s="5">
        <v>44339</v>
      </c>
      <c r="G33" s="12">
        <v>50530</v>
      </c>
      <c r="H33" s="12">
        <v>202</v>
      </c>
      <c r="I33" s="12">
        <v>50732</v>
      </c>
      <c r="K33" s="5">
        <v>43611</v>
      </c>
      <c r="L33" s="5">
        <v>44339</v>
      </c>
      <c r="M33" s="12">
        <v>-20044</v>
      </c>
      <c r="N33" s="12">
        <v>-308</v>
      </c>
      <c r="O33" s="12">
        <v>-20352</v>
      </c>
      <c r="P33" s="9">
        <v>-0.28401394281180037</v>
      </c>
      <c r="Q33" s="9">
        <v>-0.60392156862745106</v>
      </c>
      <c r="R33" s="13">
        <v>-0.28630915536548307</v>
      </c>
    </row>
    <row r="34" spans="1:18" x14ac:dyDescent="0.2">
      <c r="A34" s="5">
        <v>43609</v>
      </c>
      <c r="B34" s="12">
        <v>92714</v>
      </c>
      <c r="C34" s="12">
        <v>7183</v>
      </c>
      <c r="D34" s="12">
        <v>99897</v>
      </c>
      <c r="F34" s="5">
        <v>44340</v>
      </c>
      <c r="G34" s="12">
        <v>53599</v>
      </c>
      <c r="H34" s="12">
        <v>394</v>
      </c>
      <c r="I34" s="12">
        <v>53993</v>
      </c>
      <c r="K34" s="5">
        <v>43612</v>
      </c>
      <c r="L34" s="5">
        <v>44340</v>
      </c>
      <c r="M34" s="12">
        <v>-29946</v>
      </c>
      <c r="N34" s="12">
        <v>-7109</v>
      </c>
      <c r="O34" s="12">
        <v>-37055</v>
      </c>
      <c r="P34" s="9">
        <v>-0.35844155844155845</v>
      </c>
      <c r="Q34" s="9">
        <v>-0.94748767159802749</v>
      </c>
      <c r="R34" s="13">
        <v>-0.40698312977769968</v>
      </c>
    </row>
    <row r="35" spans="1:18" x14ac:dyDescent="0.2">
      <c r="A35" s="5">
        <v>43610</v>
      </c>
      <c r="B35" s="12">
        <v>83700</v>
      </c>
      <c r="C35" s="12">
        <v>1965</v>
      </c>
      <c r="D35" s="12">
        <v>85665</v>
      </c>
      <c r="F35" s="5">
        <v>44341</v>
      </c>
      <c r="G35" s="12">
        <v>75960</v>
      </c>
      <c r="H35" s="12">
        <v>7463</v>
      </c>
      <c r="I35" s="12">
        <v>83423</v>
      </c>
      <c r="K35" s="5">
        <v>43613</v>
      </c>
      <c r="L35" s="5">
        <v>44341</v>
      </c>
      <c r="M35" s="12">
        <v>-7075</v>
      </c>
      <c r="N35" s="12">
        <v>-825</v>
      </c>
      <c r="O35" s="12">
        <v>-7900</v>
      </c>
      <c r="P35" s="9">
        <v>-8.5205034021798021E-2</v>
      </c>
      <c r="Q35" s="9">
        <v>-9.954150579150578E-2</v>
      </c>
      <c r="R35" s="13">
        <v>-8.6506137555708906E-2</v>
      </c>
    </row>
    <row r="36" spans="1:18" x14ac:dyDescent="0.2">
      <c r="A36" s="5">
        <v>43611</v>
      </c>
      <c r="B36" s="12">
        <v>70574</v>
      </c>
      <c r="C36" s="12">
        <v>510</v>
      </c>
      <c r="D36" s="12">
        <v>71084</v>
      </c>
      <c r="F36" s="5">
        <v>44342</v>
      </c>
      <c r="G36" s="12">
        <v>74151</v>
      </c>
      <c r="H36" s="12">
        <v>8055</v>
      </c>
      <c r="I36" s="12">
        <v>82206</v>
      </c>
      <c r="K36" s="5">
        <v>43614</v>
      </c>
      <c r="L36" s="5">
        <v>44342</v>
      </c>
      <c r="M36" s="12">
        <v>-20147</v>
      </c>
      <c r="N36" s="12">
        <v>312</v>
      </c>
      <c r="O36" s="12">
        <v>-19835</v>
      </c>
      <c r="P36" s="9">
        <v>-0.2136524634668816</v>
      </c>
      <c r="Q36" s="9">
        <v>4.0294459511817093E-2</v>
      </c>
      <c r="R36" s="13">
        <v>-0.19438265011122979</v>
      </c>
    </row>
    <row r="37" spans="1:18" x14ac:dyDescent="0.2">
      <c r="A37" s="5">
        <v>43612</v>
      </c>
      <c r="B37" s="12">
        <v>83545</v>
      </c>
      <c r="C37" s="12">
        <v>7503</v>
      </c>
      <c r="D37" s="12">
        <v>91048</v>
      </c>
      <c r="F37" s="5">
        <v>44343</v>
      </c>
      <c r="G37" s="12">
        <v>76582</v>
      </c>
      <c r="H37" s="12">
        <v>8136</v>
      </c>
      <c r="I37" s="12">
        <v>84718</v>
      </c>
      <c r="K37" s="5">
        <v>43615</v>
      </c>
      <c r="L37" s="5">
        <v>44343</v>
      </c>
      <c r="M37" s="12">
        <v>823</v>
      </c>
      <c r="N37" s="12">
        <v>7466</v>
      </c>
      <c r="O37" s="12">
        <v>8289</v>
      </c>
      <c r="P37" s="9">
        <v>1.0863395768159645E-2</v>
      </c>
      <c r="Q37" s="9">
        <v>11.143283582089552</v>
      </c>
      <c r="R37" s="13">
        <v>0.10845359745646288</v>
      </c>
    </row>
    <row r="38" spans="1:18" x14ac:dyDescent="0.2">
      <c r="A38" s="5">
        <v>43613</v>
      </c>
      <c r="B38" s="12">
        <v>83035</v>
      </c>
      <c r="C38" s="12">
        <v>8288</v>
      </c>
      <c r="D38" s="12">
        <v>91323</v>
      </c>
      <c r="F38" s="5">
        <v>44344</v>
      </c>
      <c r="G38" s="12">
        <v>83453</v>
      </c>
      <c r="H38" s="12">
        <v>7466</v>
      </c>
      <c r="I38" s="12">
        <v>90919</v>
      </c>
      <c r="K38" s="5">
        <v>43616</v>
      </c>
      <c r="L38" s="5">
        <v>44344</v>
      </c>
      <c r="M38" s="12">
        <v>-2562</v>
      </c>
      <c r="N38" s="12">
        <v>1736</v>
      </c>
      <c r="O38" s="12">
        <v>-826</v>
      </c>
      <c r="P38" s="9">
        <v>-2.9785502528628771E-2</v>
      </c>
      <c r="Q38" s="9">
        <v>0.30296684118673656</v>
      </c>
      <c r="R38" s="13">
        <v>-9.0032154340835557E-3</v>
      </c>
    </row>
    <row r="39" spans="1:18" x14ac:dyDescent="0.2">
      <c r="A39" s="5">
        <v>43614</v>
      </c>
      <c r="B39" s="12">
        <v>94298</v>
      </c>
      <c r="C39" s="12">
        <v>7743</v>
      </c>
      <c r="D39" s="12">
        <v>102041</v>
      </c>
      <c r="F39" s="5">
        <v>44345</v>
      </c>
      <c r="G39" s="12">
        <v>66939</v>
      </c>
      <c r="H39" s="12">
        <v>1856</v>
      </c>
      <c r="I39" s="12">
        <v>68795</v>
      </c>
      <c r="K39" s="5">
        <v>43617</v>
      </c>
      <c r="L39" s="5">
        <v>44345</v>
      </c>
      <c r="M39" s="12">
        <v>-13634</v>
      </c>
      <c r="N39" s="12">
        <v>-17</v>
      </c>
      <c r="O39" s="12">
        <v>-13651</v>
      </c>
      <c r="P39" s="9">
        <v>-0.16921301180296133</v>
      </c>
      <c r="Q39" s="9">
        <v>-9.0763481046449712E-3</v>
      </c>
      <c r="R39" s="13">
        <v>-0.1655750430584868</v>
      </c>
    </row>
    <row r="40" spans="1:18" x14ac:dyDescent="0.2">
      <c r="A40" s="5">
        <v>43615</v>
      </c>
      <c r="B40" s="12">
        <v>75759</v>
      </c>
      <c r="C40" s="12">
        <v>670</v>
      </c>
      <c r="D40" s="12">
        <v>76429</v>
      </c>
      <c r="F40" s="5">
        <v>44346</v>
      </c>
      <c r="G40" s="12">
        <v>54241</v>
      </c>
      <c r="H40" s="12">
        <v>306</v>
      </c>
      <c r="I40" s="12">
        <v>54547</v>
      </c>
      <c r="K40" s="5">
        <v>43618</v>
      </c>
      <c r="L40" s="5">
        <v>44346</v>
      </c>
      <c r="M40" s="12">
        <v>-28572</v>
      </c>
      <c r="N40" s="12">
        <v>-328</v>
      </c>
      <c r="O40" s="12">
        <v>-28900</v>
      </c>
      <c r="P40" s="9">
        <v>-0.34501829422916697</v>
      </c>
      <c r="Q40" s="9">
        <v>-0.51735015772870663</v>
      </c>
      <c r="R40" s="13">
        <v>-0.34632760914113148</v>
      </c>
    </row>
    <row r="41" spans="1:18" x14ac:dyDescent="0.2">
      <c r="A41" s="5">
        <v>43616</v>
      </c>
      <c r="B41" s="12">
        <v>86015</v>
      </c>
      <c r="C41" s="12">
        <v>5730</v>
      </c>
      <c r="D41" s="12">
        <v>91745</v>
      </c>
      <c r="F41" s="5">
        <v>44347</v>
      </c>
      <c r="G41" s="12">
        <v>76446</v>
      </c>
      <c r="H41" s="12">
        <v>7304</v>
      </c>
      <c r="I41" s="12">
        <v>83750</v>
      </c>
      <c r="K41" s="5">
        <v>43619</v>
      </c>
      <c r="L41" s="5">
        <v>44347</v>
      </c>
      <c r="M41" s="12">
        <f t="shared" ref="M41:O41" si="0">G41-B44</f>
        <v>-8478</v>
      </c>
      <c r="N41" s="12">
        <f t="shared" si="0"/>
        <v>244</v>
      </c>
      <c r="O41" s="12">
        <f t="shared" si="0"/>
        <v>-8234</v>
      </c>
      <c r="P41" s="9">
        <f t="shared" ref="P41:R41" si="1">G41/B44-1</f>
        <v>-9.9830436625688801E-2</v>
      </c>
      <c r="Q41" s="9">
        <f t="shared" si="1"/>
        <v>3.4560906515580747E-2</v>
      </c>
      <c r="R41" s="13">
        <f t="shared" si="1"/>
        <v>-8.9515567924856487E-2</v>
      </c>
    </row>
    <row r="42" spans="1:18" x14ac:dyDescent="0.2">
      <c r="A42" s="5">
        <v>43617</v>
      </c>
      <c r="B42" s="12">
        <v>80573</v>
      </c>
      <c r="C42" s="12">
        <v>1873</v>
      </c>
      <c r="D42" s="12">
        <v>82446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">
      <c r="A43" s="5">
        <v>43618</v>
      </c>
      <c r="B43" s="12">
        <v>82813</v>
      </c>
      <c r="C43" s="12">
        <v>634</v>
      </c>
      <c r="D43" s="12">
        <v>83447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5">
        <v>43619</v>
      </c>
      <c r="B44" s="12">
        <v>84924</v>
      </c>
      <c r="C44" s="12">
        <v>7060</v>
      </c>
      <c r="D44" s="12">
        <v>91984</v>
      </c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">
      <c r="A45" s="5"/>
      <c r="B45" s="12"/>
      <c r="C45" s="12"/>
      <c r="D45" s="12"/>
      <c r="F45" s="5"/>
      <c r="G45" s="12"/>
      <c r="H45" s="12"/>
      <c r="I45" s="12"/>
      <c r="K45" s="5"/>
      <c r="L45" s="5"/>
      <c r="M45" s="12"/>
      <c r="N45" s="12"/>
      <c r="O45" s="12"/>
      <c r="P45" s="9"/>
      <c r="Q45" s="9"/>
      <c r="R45" s="13"/>
    </row>
    <row r="46" spans="1:18" x14ac:dyDescent="0.2">
      <c r="A46" s="1"/>
      <c r="B46" s="2"/>
      <c r="C46" s="2"/>
      <c r="D46" s="2"/>
      <c r="F46" s="1"/>
      <c r="G46" s="2"/>
      <c r="H46" s="2"/>
      <c r="I46" s="2"/>
    </row>
    <row r="47" spans="1:18" ht="12.95" customHeight="1" x14ac:dyDescent="0.2">
      <c r="A47" s="26" t="s">
        <v>12</v>
      </c>
      <c r="B47" s="6"/>
      <c r="C47" s="6"/>
      <c r="D47" s="3"/>
      <c r="F47" s="26" t="s">
        <v>12</v>
      </c>
      <c r="G47" s="6"/>
      <c r="H47" s="6"/>
      <c r="I47" s="3"/>
      <c r="K47" s="26" t="s">
        <v>13</v>
      </c>
      <c r="L47" s="26"/>
      <c r="M47" s="6"/>
      <c r="N47" s="6"/>
      <c r="O47" s="3"/>
      <c r="P47" s="6"/>
      <c r="Q47" s="6"/>
      <c r="R47" s="3"/>
    </row>
    <row r="48" spans="1:18" ht="25.5" x14ac:dyDescent="0.2">
      <c r="A48" s="27"/>
      <c r="B48" s="8" t="s">
        <v>38</v>
      </c>
      <c r="C48" s="4" t="s">
        <v>2</v>
      </c>
      <c r="D48" s="4" t="s">
        <v>0</v>
      </c>
      <c r="F48" s="27"/>
      <c r="G48" s="8" t="s">
        <v>38</v>
      </c>
      <c r="H48" s="4" t="s">
        <v>2</v>
      </c>
      <c r="I48" s="4" t="s">
        <v>0</v>
      </c>
      <c r="K48" s="27"/>
      <c r="L48" s="27"/>
      <c r="M48" s="8" t="s">
        <v>38</v>
      </c>
      <c r="N48" s="4" t="s">
        <v>2</v>
      </c>
      <c r="O48" s="4" t="s">
        <v>0</v>
      </c>
      <c r="P48" s="8" t="s">
        <v>38</v>
      </c>
      <c r="Q48" s="4" t="s">
        <v>2</v>
      </c>
      <c r="R48" s="4" t="s">
        <v>0</v>
      </c>
    </row>
    <row r="49" spans="1:18" x14ac:dyDescent="0.2">
      <c r="A49" s="5">
        <v>43586</v>
      </c>
      <c r="B49" s="12">
        <v>30926</v>
      </c>
      <c r="C49" s="12">
        <v>501</v>
      </c>
      <c r="D49" s="12">
        <v>31427</v>
      </c>
      <c r="F49" s="5">
        <v>44317</v>
      </c>
      <c r="G49" s="12">
        <v>21523</v>
      </c>
      <c r="H49" s="12">
        <v>277</v>
      </c>
      <c r="I49" s="12">
        <v>21800</v>
      </c>
      <c r="K49" s="5">
        <v>43589</v>
      </c>
      <c r="L49" s="5">
        <v>44317</v>
      </c>
      <c r="M49" s="12">
        <v>-16890</v>
      </c>
      <c r="N49" s="12">
        <v>-524</v>
      </c>
      <c r="O49" s="12">
        <v>-17414</v>
      </c>
      <c r="P49" s="9">
        <v>-0.4396948949574363</v>
      </c>
      <c r="Q49" s="9">
        <v>-0.65418227215980029</v>
      </c>
      <c r="R49" s="13">
        <v>-0.44407609527209668</v>
      </c>
    </row>
    <row r="50" spans="1:18" x14ac:dyDescent="0.2">
      <c r="A50" s="5">
        <v>43587</v>
      </c>
      <c r="B50" s="12">
        <v>39618</v>
      </c>
      <c r="C50" s="12">
        <v>3849</v>
      </c>
      <c r="D50" s="12">
        <v>43467</v>
      </c>
      <c r="F50" s="5">
        <v>44318</v>
      </c>
      <c r="G50" s="12">
        <v>21063</v>
      </c>
      <c r="H50" s="12">
        <v>131</v>
      </c>
      <c r="I50" s="12">
        <v>21194</v>
      </c>
      <c r="K50" s="5">
        <v>43590</v>
      </c>
      <c r="L50" s="5">
        <v>44318</v>
      </c>
      <c r="M50" s="12">
        <v>-17580</v>
      </c>
      <c r="N50" s="12">
        <v>-139</v>
      </c>
      <c r="O50" s="12">
        <v>-17719</v>
      </c>
      <c r="P50" s="9">
        <v>-0.45493362316590324</v>
      </c>
      <c r="Q50" s="9">
        <v>-0.51481481481481484</v>
      </c>
      <c r="R50" s="13">
        <v>-0.45534911212191298</v>
      </c>
    </row>
    <row r="51" spans="1:18" x14ac:dyDescent="0.2">
      <c r="A51" s="5">
        <v>43588</v>
      </c>
      <c r="B51" s="12">
        <v>43835</v>
      </c>
      <c r="C51" s="12">
        <v>3324</v>
      </c>
      <c r="D51" s="12">
        <v>47159</v>
      </c>
      <c r="F51" s="5">
        <v>44319</v>
      </c>
      <c r="G51" s="12">
        <v>35106</v>
      </c>
      <c r="H51" s="12">
        <v>3653</v>
      </c>
      <c r="I51" s="12">
        <v>38759</v>
      </c>
      <c r="K51" s="5">
        <v>43591</v>
      </c>
      <c r="L51" s="5">
        <v>44319</v>
      </c>
      <c r="M51" s="12">
        <v>-7349</v>
      </c>
      <c r="N51" s="12">
        <v>-197</v>
      </c>
      <c r="O51" s="12">
        <v>-7546</v>
      </c>
      <c r="P51" s="9">
        <v>-0.17310093039689078</v>
      </c>
      <c r="Q51" s="9">
        <v>-5.1168831168831197E-2</v>
      </c>
      <c r="R51" s="13">
        <v>-0.16296296296296298</v>
      </c>
    </row>
    <row r="52" spans="1:18" x14ac:dyDescent="0.2">
      <c r="A52" s="5">
        <v>43589</v>
      </c>
      <c r="B52" s="12">
        <v>38413</v>
      </c>
      <c r="C52" s="12">
        <v>801</v>
      </c>
      <c r="D52" s="12">
        <v>39214</v>
      </c>
      <c r="F52" s="5">
        <v>44320</v>
      </c>
      <c r="G52" s="12">
        <v>34135</v>
      </c>
      <c r="H52" s="12">
        <v>3770</v>
      </c>
      <c r="I52" s="12">
        <v>37905</v>
      </c>
      <c r="K52" s="5">
        <v>43592</v>
      </c>
      <c r="L52" s="5">
        <v>44320</v>
      </c>
      <c r="M52" s="12">
        <v>-5835</v>
      </c>
      <c r="N52" s="12">
        <v>-421</v>
      </c>
      <c r="O52" s="12">
        <v>-6256</v>
      </c>
      <c r="P52" s="9">
        <v>-0.14598448836627476</v>
      </c>
      <c r="Q52" s="9">
        <v>-0.10045335242185638</v>
      </c>
      <c r="R52" s="13">
        <v>-0.14166345870790964</v>
      </c>
    </row>
    <row r="53" spans="1:18" x14ac:dyDescent="0.2">
      <c r="A53" s="5">
        <v>43590</v>
      </c>
      <c r="B53" s="12">
        <v>38643</v>
      </c>
      <c r="C53" s="12">
        <v>270</v>
      </c>
      <c r="D53" s="12">
        <v>38913</v>
      </c>
      <c r="F53" s="5">
        <v>44321</v>
      </c>
      <c r="G53" s="12">
        <v>34070</v>
      </c>
      <c r="H53" s="12">
        <v>3867</v>
      </c>
      <c r="I53" s="12">
        <v>37937</v>
      </c>
      <c r="K53" s="5">
        <v>43593</v>
      </c>
      <c r="L53" s="5">
        <v>44321</v>
      </c>
      <c r="M53" s="12">
        <v>-4873</v>
      </c>
      <c r="N53" s="12">
        <v>662</v>
      </c>
      <c r="O53" s="12">
        <v>-4211</v>
      </c>
      <c r="P53" s="9">
        <v>-0.12513160259866984</v>
      </c>
      <c r="Q53" s="9">
        <v>0.20655226209048361</v>
      </c>
      <c r="R53" s="13">
        <v>-9.9909841510866459E-2</v>
      </c>
    </row>
    <row r="54" spans="1:18" x14ac:dyDescent="0.2">
      <c r="A54" s="5">
        <v>43591</v>
      </c>
      <c r="B54" s="12">
        <v>42455</v>
      </c>
      <c r="C54" s="12">
        <v>3850</v>
      </c>
      <c r="D54" s="12">
        <v>46305</v>
      </c>
      <c r="F54" s="5">
        <v>44322</v>
      </c>
      <c r="G54" s="12">
        <v>34098</v>
      </c>
      <c r="H54" s="12">
        <v>3823</v>
      </c>
      <c r="I54" s="12">
        <v>37921</v>
      </c>
      <c r="K54" s="5">
        <v>43594</v>
      </c>
      <c r="L54" s="5">
        <v>44322</v>
      </c>
      <c r="M54" s="12">
        <v>-7351</v>
      </c>
      <c r="N54" s="12">
        <v>-234</v>
      </c>
      <c r="O54" s="12">
        <v>-7585</v>
      </c>
      <c r="P54" s="9">
        <v>-0.1773504789017829</v>
      </c>
      <c r="Q54" s="9">
        <v>-5.7678087256593513E-2</v>
      </c>
      <c r="R54" s="13">
        <v>-0.16668131674943965</v>
      </c>
    </row>
    <row r="55" spans="1:18" x14ac:dyDescent="0.2">
      <c r="A55" s="5">
        <v>43592</v>
      </c>
      <c r="B55" s="12">
        <v>39970</v>
      </c>
      <c r="C55" s="12">
        <v>4191</v>
      </c>
      <c r="D55" s="12">
        <v>44161</v>
      </c>
      <c r="F55" s="5">
        <v>44323</v>
      </c>
      <c r="G55" s="12">
        <v>38089</v>
      </c>
      <c r="H55" s="12">
        <v>3345</v>
      </c>
      <c r="I55" s="12">
        <v>41434</v>
      </c>
      <c r="K55" s="5">
        <v>43595</v>
      </c>
      <c r="L55" s="5">
        <v>44323</v>
      </c>
      <c r="M55" s="12">
        <v>-6615</v>
      </c>
      <c r="N55" s="12">
        <v>-246</v>
      </c>
      <c r="O55" s="12">
        <v>-6861</v>
      </c>
      <c r="P55" s="9">
        <v>-0.14797333571939875</v>
      </c>
      <c r="Q55" s="9">
        <v>-6.850459482038429E-2</v>
      </c>
      <c r="R55" s="13">
        <v>-0.1420643959001967</v>
      </c>
    </row>
    <row r="56" spans="1:18" x14ac:dyDescent="0.2">
      <c r="A56" s="5">
        <v>43593</v>
      </c>
      <c r="B56" s="12">
        <v>38943</v>
      </c>
      <c r="C56" s="12">
        <v>3205</v>
      </c>
      <c r="D56" s="12">
        <v>42148</v>
      </c>
      <c r="F56" s="5">
        <v>44324</v>
      </c>
      <c r="G56" s="12">
        <v>27609</v>
      </c>
      <c r="H56" s="12">
        <v>660</v>
      </c>
      <c r="I56" s="12">
        <v>28269</v>
      </c>
      <c r="K56" s="5">
        <v>43596</v>
      </c>
      <c r="L56" s="5">
        <v>44324</v>
      </c>
      <c r="M56" s="12">
        <v>-10885</v>
      </c>
      <c r="N56" s="12">
        <v>-144</v>
      </c>
      <c r="O56" s="12">
        <v>-11029</v>
      </c>
      <c r="P56" s="9">
        <v>-0.282771340988206</v>
      </c>
      <c r="Q56" s="9">
        <v>-0.17910447761194026</v>
      </c>
      <c r="R56" s="13">
        <v>-0.28065041477937813</v>
      </c>
    </row>
    <row r="57" spans="1:18" x14ac:dyDescent="0.2">
      <c r="A57" s="5">
        <v>43594</v>
      </c>
      <c r="B57" s="12">
        <v>41449</v>
      </c>
      <c r="C57" s="12">
        <v>4057</v>
      </c>
      <c r="D57" s="12">
        <v>45506</v>
      </c>
      <c r="F57" s="5">
        <v>44325</v>
      </c>
      <c r="G57" s="12">
        <v>24821</v>
      </c>
      <c r="H57" s="12">
        <v>114</v>
      </c>
      <c r="I57" s="12">
        <v>24935</v>
      </c>
      <c r="K57" s="5">
        <v>43597</v>
      </c>
      <c r="L57" s="5">
        <v>44325</v>
      </c>
      <c r="M57" s="12">
        <v>-11556</v>
      </c>
      <c r="N57" s="12">
        <v>-161</v>
      </c>
      <c r="O57" s="12">
        <v>-11717</v>
      </c>
      <c r="P57" s="9">
        <v>-0.31767325507875854</v>
      </c>
      <c r="Q57" s="9">
        <v>-0.58545454545454545</v>
      </c>
      <c r="R57" s="13">
        <v>-0.31968241842191425</v>
      </c>
    </row>
    <row r="58" spans="1:18" x14ac:dyDescent="0.2">
      <c r="A58" s="5">
        <v>43595</v>
      </c>
      <c r="B58" s="12">
        <v>44704</v>
      </c>
      <c r="C58" s="12">
        <v>3591</v>
      </c>
      <c r="D58" s="12">
        <v>48295</v>
      </c>
      <c r="F58" s="5">
        <v>44326</v>
      </c>
      <c r="G58" s="12">
        <v>34184</v>
      </c>
      <c r="H58" s="12">
        <v>3672</v>
      </c>
      <c r="I58" s="12">
        <v>37856</v>
      </c>
      <c r="K58" s="5">
        <v>43598</v>
      </c>
      <c r="L58" s="5">
        <v>44326</v>
      </c>
      <c r="M58" s="12">
        <v>-6062</v>
      </c>
      <c r="N58" s="12">
        <v>-238</v>
      </c>
      <c r="O58" s="12">
        <v>-6300</v>
      </c>
      <c r="P58" s="9">
        <v>-0.15062366446354913</v>
      </c>
      <c r="Q58" s="9">
        <v>-6.0869565217391286E-2</v>
      </c>
      <c r="R58" s="13">
        <v>-0.14267596702599872</v>
      </c>
    </row>
    <row r="59" spans="1:18" x14ac:dyDescent="0.2">
      <c r="A59" s="5">
        <v>43596</v>
      </c>
      <c r="B59" s="12">
        <v>38494</v>
      </c>
      <c r="C59" s="12">
        <v>804</v>
      </c>
      <c r="D59" s="12">
        <v>39298</v>
      </c>
      <c r="F59" s="5">
        <v>44327</v>
      </c>
      <c r="G59" s="12">
        <v>34318</v>
      </c>
      <c r="H59" s="12">
        <v>3952</v>
      </c>
      <c r="I59" s="12">
        <v>38270</v>
      </c>
      <c r="K59" s="5">
        <v>43599</v>
      </c>
      <c r="L59" s="5">
        <v>44327</v>
      </c>
      <c r="M59" s="12">
        <v>-5511</v>
      </c>
      <c r="N59" s="12">
        <v>-53</v>
      </c>
      <c r="O59" s="12">
        <v>-5564</v>
      </c>
      <c r="P59" s="9">
        <v>-0.13836651685957468</v>
      </c>
      <c r="Q59" s="9">
        <v>-1.323345817727839E-2</v>
      </c>
      <c r="R59" s="13">
        <v>-0.12693343067025598</v>
      </c>
    </row>
    <row r="60" spans="1:18" x14ac:dyDescent="0.2">
      <c r="A60" s="5">
        <v>43597</v>
      </c>
      <c r="B60" s="12">
        <v>36377</v>
      </c>
      <c r="C60" s="12">
        <v>275</v>
      </c>
      <c r="D60" s="12">
        <v>36652</v>
      </c>
      <c r="F60" s="5">
        <v>44328</v>
      </c>
      <c r="G60" s="12">
        <v>39215</v>
      </c>
      <c r="H60" s="12">
        <v>3702</v>
      </c>
      <c r="I60" s="12">
        <v>42917</v>
      </c>
      <c r="K60" s="5">
        <v>43600</v>
      </c>
      <c r="L60" s="5">
        <v>44328</v>
      </c>
      <c r="M60" s="12">
        <v>-1549</v>
      </c>
      <c r="N60" s="12">
        <v>-412</v>
      </c>
      <c r="O60" s="12">
        <v>-1961</v>
      </c>
      <c r="P60" s="9">
        <v>-3.7999214993621799E-2</v>
      </c>
      <c r="Q60" s="9">
        <v>-0.10014584346135147</v>
      </c>
      <c r="R60" s="13">
        <v>-4.3696243148090397E-2</v>
      </c>
    </row>
    <row r="61" spans="1:18" x14ac:dyDescent="0.2">
      <c r="A61" s="5">
        <v>43598</v>
      </c>
      <c r="B61" s="12">
        <v>40246</v>
      </c>
      <c r="C61" s="12">
        <v>3910</v>
      </c>
      <c r="D61" s="12">
        <v>44156</v>
      </c>
      <c r="F61" s="5">
        <v>44329</v>
      </c>
      <c r="G61" s="12">
        <v>24878</v>
      </c>
      <c r="H61" s="12">
        <v>203</v>
      </c>
      <c r="I61" s="12">
        <v>25081</v>
      </c>
      <c r="K61" s="5">
        <v>43601</v>
      </c>
      <c r="L61" s="5">
        <v>44329</v>
      </c>
      <c r="M61" s="12">
        <v>-16888</v>
      </c>
      <c r="N61" s="12">
        <v>-3637</v>
      </c>
      <c r="O61" s="12">
        <v>-20525</v>
      </c>
      <c r="P61" s="9">
        <v>-0.40434803428626154</v>
      </c>
      <c r="Q61" s="9">
        <v>-0.94713541666666667</v>
      </c>
      <c r="R61" s="13">
        <v>-0.45005043196070693</v>
      </c>
    </row>
    <row r="62" spans="1:18" x14ac:dyDescent="0.2">
      <c r="A62" s="5">
        <v>43599</v>
      </c>
      <c r="B62" s="12">
        <v>39829</v>
      </c>
      <c r="C62" s="12">
        <v>4005</v>
      </c>
      <c r="D62" s="12">
        <v>43834</v>
      </c>
      <c r="F62" s="5">
        <v>44330</v>
      </c>
      <c r="G62" s="12">
        <v>34343</v>
      </c>
      <c r="H62" s="12">
        <v>2714</v>
      </c>
      <c r="I62" s="12">
        <v>37057</v>
      </c>
      <c r="K62" s="5">
        <v>43602</v>
      </c>
      <c r="L62" s="5">
        <v>44330</v>
      </c>
      <c r="M62" s="12">
        <v>-11536</v>
      </c>
      <c r="N62" s="12">
        <v>-570</v>
      </c>
      <c r="O62" s="12">
        <v>-12106</v>
      </c>
      <c r="P62" s="9">
        <v>-0.25144401578064035</v>
      </c>
      <c r="Q62" s="9">
        <v>-0.17356881851400729</v>
      </c>
      <c r="R62" s="13">
        <v>-0.2462420926306369</v>
      </c>
    </row>
    <row r="63" spans="1:18" x14ac:dyDescent="0.2">
      <c r="A63" s="5">
        <v>43600</v>
      </c>
      <c r="B63" s="12">
        <v>40764</v>
      </c>
      <c r="C63" s="12">
        <v>4114</v>
      </c>
      <c r="D63" s="12">
        <v>44878</v>
      </c>
      <c r="F63" s="5">
        <v>44331</v>
      </c>
      <c r="G63" s="12">
        <v>28725</v>
      </c>
      <c r="H63" s="12">
        <v>664</v>
      </c>
      <c r="I63" s="12">
        <v>29389</v>
      </c>
      <c r="K63" s="5">
        <v>43603</v>
      </c>
      <c r="L63" s="5">
        <v>44331</v>
      </c>
      <c r="M63" s="12">
        <v>-10347</v>
      </c>
      <c r="N63" s="12">
        <v>-181</v>
      </c>
      <c r="O63" s="12">
        <v>-10528</v>
      </c>
      <c r="P63" s="9">
        <v>-0.2648187960687961</v>
      </c>
      <c r="Q63" s="9">
        <v>-0.21420118343195271</v>
      </c>
      <c r="R63" s="13">
        <v>-0.26374727559686351</v>
      </c>
    </row>
    <row r="64" spans="1:18" x14ac:dyDescent="0.2">
      <c r="A64" s="5">
        <v>43601</v>
      </c>
      <c r="B64" s="12">
        <v>41766</v>
      </c>
      <c r="C64" s="12">
        <v>3840</v>
      </c>
      <c r="D64" s="12">
        <v>45606</v>
      </c>
      <c r="F64" s="5">
        <v>44332</v>
      </c>
      <c r="G64" s="12">
        <v>27173</v>
      </c>
      <c r="H64" s="12">
        <v>157</v>
      </c>
      <c r="I64" s="12">
        <v>27330</v>
      </c>
      <c r="K64" s="5">
        <v>43604</v>
      </c>
      <c r="L64" s="5">
        <v>44332</v>
      </c>
      <c r="M64" s="12">
        <v>-8321</v>
      </c>
      <c r="N64" s="12">
        <v>-117</v>
      </c>
      <c r="O64" s="12">
        <v>-8438</v>
      </c>
      <c r="P64" s="9">
        <v>-0.23443398884318478</v>
      </c>
      <c r="Q64" s="9">
        <v>-0.42700729927007297</v>
      </c>
      <c r="R64" s="13">
        <v>-0.23590919257436815</v>
      </c>
    </row>
    <row r="65" spans="1:18" x14ac:dyDescent="0.2">
      <c r="A65" s="5">
        <v>43602</v>
      </c>
      <c r="B65" s="12">
        <v>45879</v>
      </c>
      <c r="C65" s="12">
        <v>3284</v>
      </c>
      <c r="D65" s="12">
        <v>49163</v>
      </c>
      <c r="F65" s="5">
        <v>44333</v>
      </c>
      <c r="G65" s="12">
        <v>36604</v>
      </c>
      <c r="H65" s="12">
        <v>3585</v>
      </c>
      <c r="I65" s="12">
        <v>40189</v>
      </c>
      <c r="K65" s="5">
        <v>43605</v>
      </c>
      <c r="L65" s="5">
        <v>44333</v>
      </c>
      <c r="M65" s="12">
        <v>-3465</v>
      </c>
      <c r="N65" s="12">
        <v>-9</v>
      </c>
      <c r="O65" s="12">
        <v>-3474</v>
      </c>
      <c r="P65" s="9">
        <v>-8.6475829194639253E-2</v>
      </c>
      <c r="Q65" s="9">
        <v>-2.5041736227044975E-3</v>
      </c>
      <c r="R65" s="13">
        <v>-7.9563932849323171E-2</v>
      </c>
    </row>
    <row r="66" spans="1:18" x14ac:dyDescent="0.2">
      <c r="A66" s="5">
        <v>43603</v>
      </c>
      <c r="B66" s="12">
        <v>39072</v>
      </c>
      <c r="C66" s="12">
        <v>845</v>
      </c>
      <c r="D66" s="12">
        <v>39917</v>
      </c>
      <c r="F66" s="5">
        <v>44334</v>
      </c>
      <c r="G66" s="12">
        <v>37251</v>
      </c>
      <c r="H66" s="12">
        <v>3850</v>
      </c>
      <c r="I66" s="12">
        <v>41101</v>
      </c>
      <c r="K66" s="5">
        <v>43606</v>
      </c>
      <c r="L66" s="5">
        <v>44334</v>
      </c>
      <c r="M66" s="12">
        <v>-1865</v>
      </c>
      <c r="N66" s="12">
        <v>-29</v>
      </c>
      <c r="O66" s="12">
        <v>-1894</v>
      </c>
      <c r="P66" s="9">
        <v>-4.7678699253502432E-2</v>
      </c>
      <c r="Q66" s="9">
        <v>-7.4761536478473722E-3</v>
      </c>
      <c r="R66" s="13">
        <v>-4.405163391091993E-2</v>
      </c>
    </row>
    <row r="67" spans="1:18" x14ac:dyDescent="0.2">
      <c r="A67" s="5">
        <v>43604</v>
      </c>
      <c r="B67" s="12">
        <v>35494</v>
      </c>
      <c r="C67" s="12">
        <v>274</v>
      </c>
      <c r="D67" s="12">
        <v>35768</v>
      </c>
      <c r="F67" s="5">
        <v>44335</v>
      </c>
      <c r="G67" s="12">
        <v>35047</v>
      </c>
      <c r="H67" s="12">
        <v>3606</v>
      </c>
      <c r="I67" s="12">
        <v>38653</v>
      </c>
      <c r="K67" s="5">
        <v>43607</v>
      </c>
      <c r="L67" s="5">
        <v>44335</v>
      </c>
      <c r="M67" s="12">
        <v>-5242</v>
      </c>
      <c r="N67" s="12">
        <v>-359</v>
      </c>
      <c r="O67" s="12">
        <v>-5601</v>
      </c>
      <c r="P67" s="9">
        <v>-0.13010995557099958</v>
      </c>
      <c r="Q67" s="9">
        <v>-9.054224464060534E-2</v>
      </c>
      <c r="R67" s="13">
        <v>-0.12656483029782617</v>
      </c>
    </row>
    <row r="68" spans="1:18" x14ac:dyDescent="0.2">
      <c r="A68" s="5">
        <v>43605</v>
      </c>
      <c r="B68" s="12">
        <v>40069</v>
      </c>
      <c r="C68" s="12">
        <v>3594</v>
      </c>
      <c r="D68" s="12">
        <v>43663</v>
      </c>
      <c r="F68" s="5">
        <v>44336</v>
      </c>
      <c r="G68" s="12">
        <v>37410</v>
      </c>
      <c r="H68" s="12">
        <v>3953</v>
      </c>
      <c r="I68" s="12">
        <v>41363</v>
      </c>
      <c r="K68" s="5">
        <v>43608</v>
      </c>
      <c r="L68" s="5">
        <v>44336</v>
      </c>
      <c r="M68" s="12">
        <v>-2222</v>
      </c>
      <c r="N68" s="12">
        <v>3</v>
      </c>
      <c r="O68" s="12">
        <v>-2219</v>
      </c>
      <c r="P68" s="9">
        <v>-5.6065805409769909E-2</v>
      </c>
      <c r="Q68" s="9">
        <v>7.5949367088612441E-4</v>
      </c>
      <c r="R68" s="13">
        <v>-5.0915515579826542E-2</v>
      </c>
    </row>
    <row r="69" spans="1:18" x14ac:dyDescent="0.2">
      <c r="A69" s="5">
        <v>43606</v>
      </c>
      <c r="B69" s="12">
        <v>39116</v>
      </c>
      <c r="C69" s="12">
        <v>3879</v>
      </c>
      <c r="D69" s="12">
        <v>42995</v>
      </c>
      <c r="F69" s="5">
        <v>44337</v>
      </c>
      <c r="G69" s="12">
        <v>42527</v>
      </c>
      <c r="H69" s="12">
        <v>3214</v>
      </c>
      <c r="I69" s="12">
        <v>45741</v>
      </c>
      <c r="K69" s="5">
        <v>43609</v>
      </c>
      <c r="L69" s="5">
        <v>44337</v>
      </c>
      <c r="M69" s="12">
        <v>-3292</v>
      </c>
      <c r="N69" s="12">
        <v>-191</v>
      </c>
      <c r="O69" s="12">
        <v>-3483</v>
      </c>
      <c r="P69" s="9">
        <v>-7.1847923350575105E-2</v>
      </c>
      <c r="Q69" s="9">
        <v>-5.6093979441997011E-2</v>
      </c>
      <c r="R69" s="13">
        <v>-7.0758166747927786E-2</v>
      </c>
    </row>
    <row r="70" spans="1:18" x14ac:dyDescent="0.2">
      <c r="A70" s="5">
        <v>43607</v>
      </c>
      <c r="B70" s="12">
        <v>40289</v>
      </c>
      <c r="C70" s="12">
        <v>3965</v>
      </c>
      <c r="D70" s="12">
        <v>44254</v>
      </c>
      <c r="F70" s="5">
        <v>44338</v>
      </c>
      <c r="G70" s="12">
        <v>37994</v>
      </c>
      <c r="H70" s="12">
        <v>860</v>
      </c>
      <c r="I70" s="12">
        <v>38854</v>
      </c>
      <c r="K70" s="5">
        <v>43610</v>
      </c>
      <c r="L70" s="5">
        <v>44338</v>
      </c>
      <c r="M70" s="12">
        <v>-3623</v>
      </c>
      <c r="N70" s="12">
        <v>-17</v>
      </c>
      <c r="O70" s="12">
        <v>-3640</v>
      </c>
      <c r="P70" s="9">
        <v>-8.7055770478410288E-2</v>
      </c>
      <c r="Q70" s="9">
        <v>-1.9384264538198415E-2</v>
      </c>
      <c r="R70" s="13">
        <v>-8.5659151880265405E-2</v>
      </c>
    </row>
    <row r="71" spans="1:18" x14ac:dyDescent="0.2">
      <c r="A71" s="5">
        <v>43608</v>
      </c>
      <c r="B71" s="12">
        <v>39632</v>
      </c>
      <c r="C71" s="12">
        <v>3950</v>
      </c>
      <c r="D71" s="12">
        <v>43582</v>
      </c>
      <c r="F71" s="5">
        <v>44339</v>
      </c>
      <c r="G71" s="12">
        <v>26337</v>
      </c>
      <c r="H71" s="12">
        <v>107</v>
      </c>
      <c r="I71" s="12">
        <v>26444</v>
      </c>
      <c r="K71" s="5">
        <v>43611</v>
      </c>
      <c r="L71" s="5">
        <v>44339</v>
      </c>
      <c r="M71" s="12">
        <v>-11282</v>
      </c>
      <c r="N71" s="12">
        <v>-181</v>
      </c>
      <c r="O71" s="12">
        <v>-11463</v>
      </c>
      <c r="P71" s="9">
        <v>-0.29990164544512077</v>
      </c>
      <c r="Q71" s="9">
        <v>-0.62847222222222221</v>
      </c>
      <c r="R71" s="13">
        <v>-0.30239797398897306</v>
      </c>
    </row>
    <row r="72" spans="1:18" x14ac:dyDescent="0.2">
      <c r="A72" s="5">
        <v>43609</v>
      </c>
      <c r="B72" s="12">
        <v>45819</v>
      </c>
      <c r="C72" s="12">
        <v>3405</v>
      </c>
      <c r="D72" s="12">
        <v>49224</v>
      </c>
      <c r="F72" s="5">
        <v>44340</v>
      </c>
      <c r="G72" s="12">
        <v>26882</v>
      </c>
      <c r="H72" s="12">
        <v>209</v>
      </c>
      <c r="I72" s="12">
        <v>27091</v>
      </c>
      <c r="K72" s="5">
        <v>43612</v>
      </c>
      <c r="L72" s="5">
        <v>44340</v>
      </c>
      <c r="M72" s="12">
        <v>-16413</v>
      </c>
      <c r="N72" s="12">
        <v>-3657</v>
      </c>
      <c r="O72" s="12">
        <v>-20070</v>
      </c>
      <c r="P72" s="9">
        <v>-0.37909689340570507</v>
      </c>
      <c r="Q72" s="9">
        <v>-0.94593895499224001</v>
      </c>
      <c r="R72" s="13">
        <v>-0.42556349526091475</v>
      </c>
    </row>
    <row r="73" spans="1:18" x14ac:dyDescent="0.2">
      <c r="A73" s="5">
        <v>43610</v>
      </c>
      <c r="B73" s="12">
        <v>41617</v>
      </c>
      <c r="C73" s="12">
        <v>877</v>
      </c>
      <c r="D73" s="12">
        <v>42494</v>
      </c>
      <c r="F73" s="5">
        <v>44341</v>
      </c>
      <c r="G73" s="12">
        <v>38363</v>
      </c>
      <c r="H73" s="12">
        <v>3781</v>
      </c>
      <c r="I73" s="12">
        <v>42144</v>
      </c>
      <c r="K73" s="5">
        <v>43613</v>
      </c>
      <c r="L73" s="5">
        <v>44341</v>
      </c>
      <c r="M73" s="12">
        <v>-3697</v>
      </c>
      <c r="N73" s="12">
        <v>-380</v>
      </c>
      <c r="O73" s="12">
        <v>-4077</v>
      </c>
      <c r="P73" s="9">
        <v>-8.7898240608654254E-2</v>
      </c>
      <c r="Q73" s="9">
        <v>-9.1324200913242004E-2</v>
      </c>
      <c r="R73" s="13">
        <v>-8.8206659310702928E-2</v>
      </c>
    </row>
    <row r="74" spans="1:18" x14ac:dyDescent="0.2">
      <c r="A74" s="5">
        <v>43611</v>
      </c>
      <c r="B74" s="12">
        <v>37619</v>
      </c>
      <c r="C74" s="12">
        <v>288</v>
      </c>
      <c r="D74" s="12">
        <v>37907</v>
      </c>
      <c r="F74" s="5">
        <v>44342</v>
      </c>
      <c r="G74" s="12">
        <v>36405</v>
      </c>
      <c r="H74" s="12">
        <v>3774</v>
      </c>
      <c r="I74" s="12">
        <v>40179</v>
      </c>
      <c r="K74" s="5">
        <v>43614</v>
      </c>
      <c r="L74" s="5">
        <v>44342</v>
      </c>
      <c r="M74" s="12">
        <v>-11534</v>
      </c>
      <c r="N74" s="12">
        <v>-42</v>
      </c>
      <c r="O74" s="12">
        <v>-11576</v>
      </c>
      <c r="P74" s="9">
        <v>-0.24059742589540878</v>
      </c>
      <c r="Q74" s="9">
        <v>-1.1006289308176154E-2</v>
      </c>
      <c r="R74" s="13">
        <v>-0.22366921070427981</v>
      </c>
    </row>
    <row r="75" spans="1:18" x14ac:dyDescent="0.2">
      <c r="A75" s="5">
        <v>43612</v>
      </c>
      <c r="B75" s="12">
        <v>43295</v>
      </c>
      <c r="C75" s="12">
        <v>3866</v>
      </c>
      <c r="D75" s="12">
        <v>47161</v>
      </c>
      <c r="F75" s="5">
        <v>44343</v>
      </c>
      <c r="G75" s="12">
        <v>37320</v>
      </c>
      <c r="H75" s="12">
        <v>3992</v>
      </c>
      <c r="I75" s="12">
        <v>41312</v>
      </c>
      <c r="K75" s="5">
        <v>43615</v>
      </c>
      <c r="L75" s="5">
        <v>44343</v>
      </c>
      <c r="M75" s="12">
        <v>-859</v>
      </c>
      <c r="N75" s="12">
        <v>3641</v>
      </c>
      <c r="O75" s="12">
        <v>2782</v>
      </c>
      <c r="P75" s="9">
        <v>-2.2499279708740438E-2</v>
      </c>
      <c r="Q75" s="9">
        <v>10.373219373219372</v>
      </c>
      <c r="R75" s="13">
        <v>7.2203477809499095E-2</v>
      </c>
    </row>
    <row r="76" spans="1:18" x14ac:dyDescent="0.2">
      <c r="A76" s="5">
        <v>43613</v>
      </c>
      <c r="B76" s="12">
        <v>42060</v>
      </c>
      <c r="C76" s="12">
        <v>4161</v>
      </c>
      <c r="D76" s="12">
        <v>46221</v>
      </c>
      <c r="F76" s="5">
        <v>44344</v>
      </c>
      <c r="G76" s="12">
        <v>41882</v>
      </c>
      <c r="H76" s="12">
        <v>3425</v>
      </c>
      <c r="I76" s="12">
        <v>45307</v>
      </c>
      <c r="K76" s="5">
        <v>43616</v>
      </c>
      <c r="L76" s="5">
        <v>44344</v>
      </c>
      <c r="M76" s="12">
        <v>-1394</v>
      </c>
      <c r="N76" s="12">
        <v>640</v>
      </c>
      <c r="O76" s="12">
        <v>-754</v>
      </c>
      <c r="P76" s="9">
        <v>-3.2211849523985592E-2</v>
      </c>
      <c r="Q76" s="9">
        <v>0.22980251346499103</v>
      </c>
      <c r="R76" s="13">
        <v>-1.6369596838974432E-2</v>
      </c>
    </row>
    <row r="77" spans="1:18" x14ac:dyDescent="0.2">
      <c r="A77" s="5">
        <v>43614</v>
      </c>
      <c r="B77" s="12">
        <v>47939</v>
      </c>
      <c r="C77" s="12">
        <v>3816</v>
      </c>
      <c r="D77" s="12">
        <v>51755</v>
      </c>
      <c r="F77" s="5">
        <v>44345</v>
      </c>
      <c r="G77" s="12">
        <v>35841</v>
      </c>
      <c r="H77" s="12">
        <v>754</v>
      </c>
      <c r="I77" s="12">
        <v>36595</v>
      </c>
      <c r="K77" s="5">
        <v>43617</v>
      </c>
      <c r="L77" s="5">
        <v>44345</v>
      </c>
      <c r="M77" s="12">
        <v>-4140</v>
      </c>
      <c r="N77" s="12">
        <v>-75</v>
      </c>
      <c r="O77" s="12">
        <v>-4215</v>
      </c>
      <c r="P77" s="9">
        <v>-0.1035491858632851</v>
      </c>
      <c r="Q77" s="9">
        <v>-9.0470446320868536E-2</v>
      </c>
      <c r="R77" s="13">
        <v>-0.10328350894388627</v>
      </c>
    </row>
    <row r="78" spans="1:18" x14ac:dyDescent="0.2">
      <c r="A78" s="5">
        <v>43615</v>
      </c>
      <c r="B78" s="12">
        <v>38179</v>
      </c>
      <c r="C78" s="12">
        <v>351</v>
      </c>
      <c r="D78" s="12">
        <v>38530</v>
      </c>
      <c r="F78" s="5">
        <v>44346</v>
      </c>
      <c r="G78" s="12">
        <v>29048</v>
      </c>
      <c r="H78" s="12">
        <v>175</v>
      </c>
      <c r="I78" s="12">
        <v>29223</v>
      </c>
      <c r="K78" s="5">
        <v>43618</v>
      </c>
      <c r="L78" s="5">
        <v>44346</v>
      </c>
      <c r="M78" s="12">
        <v>-13581</v>
      </c>
      <c r="N78" s="12">
        <v>-182</v>
      </c>
      <c r="O78" s="12">
        <v>-13763</v>
      </c>
      <c r="P78" s="9">
        <v>-0.31858593914940536</v>
      </c>
      <c r="Q78" s="9">
        <v>-0.50980392156862742</v>
      </c>
      <c r="R78" s="13">
        <v>-0.3201740101428372</v>
      </c>
    </row>
    <row r="79" spans="1:18" x14ac:dyDescent="0.2">
      <c r="A79" s="5">
        <v>43616</v>
      </c>
      <c r="B79" s="12">
        <v>43276</v>
      </c>
      <c r="C79" s="12">
        <v>2785</v>
      </c>
      <c r="D79" s="12">
        <v>46061</v>
      </c>
      <c r="F79" s="5">
        <v>44347</v>
      </c>
      <c r="G79" s="12">
        <v>38573</v>
      </c>
      <c r="H79" s="12">
        <v>3737</v>
      </c>
      <c r="I79" s="12">
        <v>42310</v>
      </c>
      <c r="K79" s="5">
        <v>43619</v>
      </c>
      <c r="L79" s="5">
        <v>44347</v>
      </c>
      <c r="M79" s="12">
        <f t="shared" ref="M79:O79" si="2">G79-B82</f>
        <v>-4232</v>
      </c>
      <c r="N79" s="12">
        <f t="shared" si="2"/>
        <v>176</v>
      </c>
      <c r="O79" s="12">
        <f t="shared" si="2"/>
        <v>-4056</v>
      </c>
      <c r="P79" s="9">
        <f t="shared" ref="P79:R79" si="3">G79/B82-1</f>
        <v>-9.8866954795000628E-2</v>
      </c>
      <c r="Q79" s="9">
        <f t="shared" si="3"/>
        <v>4.9424319011513562E-2</v>
      </c>
      <c r="R79" s="13">
        <f t="shared" si="3"/>
        <v>-8.7477893283871788E-2</v>
      </c>
    </row>
    <row r="80" spans="1:18" x14ac:dyDescent="0.2">
      <c r="A80" s="5">
        <v>43617</v>
      </c>
      <c r="B80" s="12">
        <v>39981</v>
      </c>
      <c r="C80" s="12">
        <v>829</v>
      </c>
      <c r="D80" s="12">
        <v>40810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">
      <c r="A81" s="5">
        <v>43618</v>
      </c>
      <c r="B81" s="12">
        <v>42629</v>
      </c>
      <c r="C81" s="12">
        <v>357</v>
      </c>
      <c r="D81" s="12">
        <v>42986</v>
      </c>
      <c r="F81" s="5"/>
      <c r="G81" s="12"/>
      <c r="H81" s="12"/>
      <c r="I81" s="12"/>
      <c r="K81" s="5"/>
      <c r="L81" s="5"/>
      <c r="M81" s="12"/>
      <c r="N81" s="12"/>
      <c r="O81" s="12"/>
      <c r="P81" s="9"/>
      <c r="Q81" s="9"/>
      <c r="R81" s="13"/>
    </row>
    <row r="82" spans="1:18" x14ac:dyDescent="0.2">
      <c r="A82" s="5">
        <v>43619</v>
      </c>
      <c r="B82" s="12">
        <v>42805</v>
      </c>
      <c r="C82" s="12">
        <v>3561</v>
      </c>
      <c r="D82" s="12">
        <v>46366</v>
      </c>
      <c r="F82" s="5"/>
      <c r="G82" s="12"/>
      <c r="H82" s="12"/>
      <c r="I82" s="12"/>
      <c r="K82" s="5"/>
      <c r="L82" s="5"/>
      <c r="M82" s="12"/>
      <c r="N82" s="12"/>
      <c r="O82" s="12"/>
      <c r="P82" s="9"/>
      <c r="Q82" s="9"/>
      <c r="R82" s="13"/>
    </row>
    <row r="83" spans="1:18" x14ac:dyDescent="0.2">
      <c r="A83" s="5"/>
      <c r="B83" s="2"/>
      <c r="C83" s="2"/>
      <c r="D83" s="2"/>
      <c r="F83" s="5"/>
      <c r="G83" s="2"/>
      <c r="H83" s="2"/>
      <c r="I83" s="2"/>
      <c r="L83" s="5"/>
      <c r="M83" s="2"/>
      <c r="N83" s="2"/>
      <c r="O83" s="2"/>
      <c r="P83" s="2"/>
      <c r="Q83" s="2"/>
      <c r="R83" s="14"/>
    </row>
    <row r="84" spans="1:18" x14ac:dyDescent="0.2">
      <c r="B84" s="2"/>
      <c r="C84" s="2"/>
      <c r="G84" s="2"/>
      <c r="H84" s="2"/>
    </row>
    <row r="85" spans="1:18" ht="12.95" customHeight="1" x14ac:dyDescent="0.2">
      <c r="A85" s="26" t="s">
        <v>14</v>
      </c>
      <c r="B85" s="6"/>
      <c r="C85" s="6"/>
      <c r="D85" s="3"/>
      <c r="F85" s="26" t="s">
        <v>14</v>
      </c>
      <c r="G85" s="6"/>
      <c r="H85" s="6"/>
      <c r="I85" s="3"/>
      <c r="K85" s="26" t="s">
        <v>15</v>
      </c>
      <c r="L85" s="26"/>
      <c r="M85" s="6"/>
      <c r="N85" s="6"/>
      <c r="O85" s="3"/>
      <c r="P85" s="6"/>
      <c r="Q85" s="6"/>
      <c r="R85" s="3"/>
    </row>
    <row r="86" spans="1:18" ht="25.5" x14ac:dyDescent="0.2">
      <c r="A86" s="27"/>
      <c r="B86" s="8" t="s">
        <v>38</v>
      </c>
      <c r="C86" s="4" t="s">
        <v>2</v>
      </c>
      <c r="D86" s="4" t="s">
        <v>0</v>
      </c>
      <c r="F86" s="27"/>
      <c r="G86" s="8" t="s">
        <v>38</v>
      </c>
      <c r="H86" s="4" t="s">
        <v>2</v>
      </c>
      <c r="I86" s="4" t="s">
        <v>0</v>
      </c>
      <c r="K86" s="27"/>
      <c r="L86" s="27"/>
      <c r="M86" s="8" t="s">
        <v>38</v>
      </c>
      <c r="N86" s="4" t="s">
        <v>2</v>
      </c>
      <c r="O86" s="4" t="s">
        <v>0</v>
      </c>
      <c r="P86" s="8" t="s">
        <v>38</v>
      </c>
      <c r="Q86" s="4" t="s">
        <v>2</v>
      </c>
      <c r="R86" s="4" t="s">
        <v>0</v>
      </c>
    </row>
    <row r="87" spans="1:18" x14ac:dyDescent="0.2">
      <c r="A87" s="5">
        <v>43586</v>
      </c>
      <c r="B87" s="12">
        <v>30777</v>
      </c>
      <c r="C87" s="12">
        <v>558</v>
      </c>
      <c r="D87" s="12">
        <v>31335</v>
      </c>
      <c r="F87" s="5">
        <v>44317</v>
      </c>
      <c r="G87" s="12">
        <v>21079</v>
      </c>
      <c r="H87" s="12">
        <v>340</v>
      </c>
      <c r="I87" s="12">
        <v>21419</v>
      </c>
      <c r="K87" s="5">
        <v>43589</v>
      </c>
      <c r="L87" s="5">
        <v>44317</v>
      </c>
      <c r="M87" s="12">
        <v>-21223</v>
      </c>
      <c r="N87" s="12">
        <v>-738</v>
      </c>
      <c r="O87" s="12">
        <v>-21961</v>
      </c>
      <c r="P87" s="9">
        <v>-0.50170204718453026</v>
      </c>
      <c r="Q87" s="9">
        <v>-0.6846011131725418</v>
      </c>
      <c r="R87" s="13">
        <v>-0.50624711848778237</v>
      </c>
    </row>
    <row r="88" spans="1:18" x14ac:dyDescent="0.2">
      <c r="A88" s="5">
        <v>43587</v>
      </c>
      <c r="B88" s="12">
        <v>41525</v>
      </c>
      <c r="C88" s="12">
        <v>3807</v>
      </c>
      <c r="D88" s="12">
        <v>45332</v>
      </c>
      <c r="F88" s="5">
        <v>44318</v>
      </c>
      <c r="G88" s="12">
        <v>19677</v>
      </c>
      <c r="H88" s="12">
        <v>85</v>
      </c>
      <c r="I88" s="12">
        <v>19762</v>
      </c>
      <c r="K88" s="5">
        <v>43590</v>
      </c>
      <c r="L88" s="5">
        <v>44318</v>
      </c>
      <c r="M88" s="12">
        <v>-15599</v>
      </c>
      <c r="N88" s="12">
        <v>-130</v>
      </c>
      <c r="O88" s="12">
        <v>-15729</v>
      </c>
      <c r="P88" s="9">
        <v>-0.44219866197981628</v>
      </c>
      <c r="Q88" s="9">
        <v>-0.60465116279069764</v>
      </c>
      <c r="R88" s="13">
        <v>-0.44318277873263645</v>
      </c>
    </row>
    <row r="89" spans="1:18" x14ac:dyDescent="0.2">
      <c r="A89" s="5">
        <v>43588</v>
      </c>
      <c r="B89" s="12">
        <v>45554</v>
      </c>
      <c r="C89" s="12">
        <v>3708</v>
      </c>
      <c r="D89" s="12">
        <v>49262</v>
      </c>
      <c r="F89" s="5">
        <v>44319</v>
      </c>
      <c r="G89" s="12">
        <v>33713</v>
      </c>
      <c r="H89" s="12">
        <v>3526</v>
      </c>
      <c r="I89" s="12">
        <v>37239</v>
      </c>
      <c r="K89" s="5">
        <v>43591</v>
      </c>
      <c r="L89" s="5">
        <v>44319</v>
      </c>
      <c r="M89" s="12">
        <v>-5462</v>
      </c>
      <c r="N89" s="12">
        <v>-15</v>
      </c>
      <c r="O89" s="12">
        <v>-5477</v>
      </c>
      <c r="P89" s="9">
        <v>-0.13942565411614549</v>
      </c>
      <c r="Q89" s="9">
        <v>-4.2360914995763777E-3</v>
      </c>
      <c r="R89" s="13">
        <v>-0.12821893435714959</v>
      </c>
    </row>
    <row r="90" spans="1:18" x14ac:dyDescent="0.2">
      <c r="A90" s="5">
        <v>43589</v>
      </c>
      <c r="B90" s="12">
        <v>42302</v>
      </c>
      <c r="C90" s="12">
        <v>1078</v>
      </c>
      <c r="D90" s="12">
        <v>43380</v>
      </c>
      <c r="F90" s="5">
        <v>44320</v>
      </c>
      <c r="G90" s="12">
        <v>34085</v>
      </c>
      <c r="H90" s="12">
        <v>3965</v>
      </c>
      <c r="I90" s="12">
        <v>38050</v>
      </c>
      <c r="K90" s="5">
        <v>43592</v>
      </c>
      <c r="L90" s="5">
        <v>44320</v>
      </c>
      <c r="M90" s="12">
        <v>-5369</v>
      </c>
      <c r="N90" s="12">
        <v>-93</v>
      </c>
      <c r="O90" s="12">
        <v>-5462</v>
      </c>
      <c r="P90" s="9">
        <v>-0.13608252648654129</v>
      </c>
      <c r="Q90" s="9">
        <v>-2.2917693445046794E-2</v>
      </c>
      <c r="R90" s="13">
        <v>-0.12552858981430415</v>
      </c>
    </row>
    <row r="91" spans="1:18" x14ac:dyDescent="0.2">
      <c r="A91" s="5">
        <v>43590</v>
      </c>
      <c r="B91" s="12">
        <v>35276</v>
      </c>
      <c r="C91" s="12">
        <v>215</v>
      </c>
      <c r="D91" s="12">
        <v>35491</v>
      </c>
      <c r="F91" s="5">
        <v>44321</v>
      </c>
      <c r="G91" s="12">
        <v>34112</v>
      </c>
      <c r="H91" s="12">
        <v>3965</v>
      </c>
      <c r="I91" s="12">
        <v>38077</v>
      </c>
      <c r="K91" s="5">
        <v>43593</v>
      </c>
      <c r="L91" s="5">
        <v>44321</v>
      </c>
      <c r="M91" s="12">
        <v>-5047</v>
      </c>
      <c r="N91" s="12">
        <v>452</v>
      </c>
      <c r="O91" s="12">
        <v>-4595</v>
      </c>
      <c r="P91" s="9">
        <v>-0.12888480298271154</v>
      </c>
      <c r="Q91" s="9">
        <v>0.1286649587247366</v>
      </c>
      <c r="R91" s="13">
        <v>-0.10768185226846649</v>
      </c>
    </row>
    <row r="92" spans="1:18" x14ac:dyDescent="0.2">
      <c r="A92" s="5">
        <v>43591</v>
      </c>
      <c r="B92" s="12">
        <v>39175</v>
      </c>
      <c r="C92" s="12">
        <v>3541</v>
      </c>
      <c r="D92" s="12">
        <v>42716</v>
      </c>
      <c r="F92" s="5">
        <v>44322</v>
      </c>
      <c r="G92" s="12">
        <v>34677</v>
      </c>
      <c r="H92" s="12">
        <v>3922</v>
      </c>
      <c r="I92" s="12">
        <v>38599</v>
      </c>
      <c r="K92" s="5">
        <v>43594</v>
      </c>
      <c r="L92" s="5">
        <v>44322</v>
      </c>
      <c r="M92" s="12">
        <v>-6347</v>
      </c>
      <c r="N92" s="12">
        <v>7</v>
      </c>
      <c r="O92" s="12">
        <v>-6340</v>
      </c>
      <c r="P92" s="9">
        <v>-0.15471431357254295</v>
      </c>
      <c r="Q92" s="9">
        <v>1.787994891443212E-3</v>
      </c>
      <c r="R92" s="13">
        <v>-0.14108013084403304</v>
      </c>
    </row>
    <row r="93" spans="1:18" x14ac:dyDescent="0.2">
      <c r="A93" s="5">
        <v>43592</v>
      </c>
      <c r="B93" s="12">
        <v>39454</v>
      </c>
      <c r="C93" s="12">
        <v>4058</v>
      </c>
      <c r="D93" s="12">
        <v>43512</v>
      </c>
      <c r="F93" s="5">
        <v>44323</v>
      </c>
      <c r="G93" s="12">
        <v>37108</v>
      </c>
      <c r="H93" s="12">
        <v>3763</v>
      </c>
      <c r="I93" s="12">
        <v>40871</v>
      </c>
      <c r="K93" s="5">
        <v>43595</v>
      </c>
      <c r="L93" s="5">
        <v>44323</v>
      </c>
      <c r="M93" s="12">
        <v>-9018</v>
      </c>
      <c r="N93" s="12">
        <v>-93</v>
      </c>
      <c r="O93" s="12">
        <v>-9111</v>
      </c>
      <c r="P93" s="9">
        <v>-0.19550795646706842</v>
      </c>
      <c r="Q93" s="9">
        <v>-2.4118257261410814E-2</v>
      </c>
      <c r="R93" s="13">
        <v>-0.18228562282421668</v>
      </c>
    </row>
    <row r="94" spans="1:18" x14ac:dyDescent="0.2">
      <c r="A94" s="5">
        <v>43593</v>
      </c>
      <c r="B94" s="12">
        <v>39159</v>
      </c>
      <c r="C94" s="12">
        <v>3513</v>
      </c>
      <c r="D94" s="12">
        <v>42672</v>
      </c>
      <c r="F94" s="5">
        <v>44324</v>
      </c>
      <c r="G94" s="12">
        <v>28047</v>
      </c>
      <c r="H94" s="12">
        <v>1025</v>
      </c>
      <c r="I94" s="12">
        <v>29072</v>
      </c>
      <c r="K94" s="5">
        <v>43596</v>
      </c>
      <c r="L94" s="5">
        <v>44324</v>
      </c>
      <c r="M94" s="12">
        <v>-13080</v>
      </c>
      <c r="N94" s="12">
        <v>-180</v>
      </c>
      <c r="O94" s="12">
        <v>-13260</v>
      </c>
      <c r="P94" s="9">
        <v>-0.31803924429207087</v>
      </c>
      <c r="Q94" s="9">
        <v>-0.14937759336099588</v>
      </c>
      <c r="R94" s="13">
        <v>-0.31323821222715675</v>
      </c>
    </row>
    <row r="95" spans="1:18" x14ac:dyDescent="0.2">
      <c r="A95" s="5">
        <v>43594</v>
      </c>
      <c r="B95" s="12">
        <v>41024</v>
      </c>
      <c r="C95" s="12">
        <v>3915</v>
      </c>
      <c r="D95" s="12">
        <v>44939</v>
      </c>
      <c r="F95" s="5">
        <v>44325</v>
      </c>
      <c r="G95" s="12">
        <v>24673</v>
      </c>
      <c r="H95" s="12">
        <v>95</v>
      </c>
      <c r="I95" s="12">
        <v>24768</v>
      </c>
      <c r="K95" s="5">
        <v>43597</v>
      </c>
      <c r="L95" s="5">
        <v>44325</v>
      </c>
      <c r="M95" s="12">
        <v>-7281</v>
      </c>
      <c r="N95" s="12">
        <v>-84</v>
      </c>
      <c r="O95" s="12">
        <v>-7365</v>
      </c>
      <c r="P95" s="9">
        <v>-0.22785879702071732</v>
      </c>
      <c r="Q95" s="9">
        <v>-0.46927374301675973</v>
      </c>
      <c r="R95" s="13">
        <v>-0.22920362244421622</v>
      </c>
    </row>
    <row r="96" spans="1:18" x14ac:dyDescent="0.2">
      <c r="A96" s="5">
        <v>43595</v>
      </c>
      <c r="B96" s="12">
        <v>46126</v>
      </c>
      <c r="C96" s="12">
        <v>3856</v>
      </c>
      <c r="D96" s="12">
        <v>49982</v>
      </c>
      <c r="F96" s="5">
        <v>44326</v>
      </c>
      <c r="G96" s="12">
        <v>33690</v>
      </c>
      <c r="H96" s="12">
        <v>3522</v>
      </c>
      <c r="I96" s="12">
        <v>37212</v>
      </c>
      <c r="K96" s="5">
        <v>43598</v>
      </c>
      <c r="L96" s="5">
        <v>44326</v>
      </c>
      <c r="M96" s="12">
        <v>-5633</v>
      </c>
      <c r="N96" s="12">
        <v>-147</v>
      </c>
      <c r="O96" s="12">
        <v>-5780</v>
      </c>
      <c r="P96" s="9">
        <v>-0.14324949774940876</v>
      </c>
      <c r="Q96" s="9">
        <v>-4.0065412919051524E-2</v>
      </c>
      <c r="R96" s="13">
        <v>-0.13444361741719391</v>
      </c>
    </row>
    <row r="97" spans="1:18" x14ac:dyDescent="0.2">
      <c r="A97" s="5">
        <v>43596</v>
      </c>
      <c r="B97" s="12">
        <v>41127</v>
      </c>
      <c r="C97" s="12">
        <v>1205</v>
      </c>
      <c r="D97" s="12">
        <v>42332</v>
      </c>
      <c r="F97" s="5">
        <v>44327</v>
      </c>
      <c r="G97" s="12">
        <v>34724</v>
      </c>
      <c r="H97" s="12">
        <v>4182</v>
      </c>
      <c r="I97" s="12">
        <v>38906</v>
      </c>
      <c r="K97" s="5">
        <v>43599</v>
      </c>
      <c r="L97" s="5">
        <v>44327</v>
      </c>
      <c r="M97" s="12">
        <v>-5250</v>
      </c>
      <c r="N97" s="12">
        <v>32</v>
      </c>
      <c r="O97" s="12">
        <v>-5218</v>
      </c>
      <c r="P97" s="9">
        <v>-0.13133536798919299</v>
      </c>
      <c r="Q97" s="9">
        <v>7.7108433734940363E-3</v>
      </c>
      <c r="R97" s="13">
        <v>-0.11825763756685703</v>
      </c>
    </row>
    <row r="98" spans="1:18" x14ac:dyDescent="0.2">
      <c r="A98" s="5">
        <v>43597</v>
      </c>
      <c r="B98" s="12">
        <v>31954</v>
      </c>
      <c r="C98" s="12">
        <v>179</v>
      </c>
      <c r="D98" s="12">
        <v>32133</v>
      </c>
      <c r="F98" s="5">
        <v>44328</v>
      </c>
      <c r="G98" s="12">
        <v>40053</v>
      </c>
      <c r="H98" s="12">
        <v>3933</v>
      </c>
      <c r="I98" s="12">
        <v>43986</v>
      </c>
      <c r="K98" s="5">
        <v>43600</v>
      </c>
      <c r="L98" s="5">
        <v>44328</v>
      </c>
      <c r="M98" s="12">
        <v>-1344</v>
      </c>
      <c r="N98" s="12">
        <v>-247</v>
      </c>
      <c r="O98" s="12">
        <v>-1591</v>
      </c>
      <c r="P98" s="9">
        <v>-3.2466120733386505E-2</v>
      </c>
      <c r="Q98" s="9">
        <v>-5.9090909090909083E-2</v>
      </c>
      <c r="R98" s="13">
        <v>-3.4907957961252345E-2</v>
      </c>
    </row>
    <row r="99" spans="1:18" x14ac:dyDescent="0.2">
      <c r="A99" s="5">
        <v>43598</v>
      </c>
      <c r="B99" s="12">
        <v>39323</v>
      </c>
      <c r="C99" s="12">
        <v>3669</v>
      </c>
      <c r="D99" s="12">
        <v>42992</v>
      </c>
      <c r="F99" s="5">
        <v>44329</v>
      </c>
      <c r="G99" s="12">
        <v>23591</v>
      </c>
      <c r="H99" s="12">
        <v>147</v>
      </c>
      <c r="I99" s="12">
        <v>23738</v>
      </c>
      <c r="K99" s="5">
        <v>43601</v>
      </c>
      <c r="L99" s="5">
        <v>44329</v>
      </c>
      <c r="M99" s="12">
        <v>-16505</v>
      </c>
      <c r="N99" s="12">
        <v>-3522</v>
      </c>
      <c r="O99" s="12">
        <v>-20027</v>
      </c>
      <c r="P99" s="9">
        <v>-0.41163707102952918</v>
      </c>
      <c r="Q99" s="9">
        <v>-0.95993458708094848</v>
      </c>
      <c r="R99" s="13">
        <v>-0.45760310750599797</v>
      </c>
    </row>
    <row r="100" spans="1:18" x14ac:dyDescent="0.2">
      <c r="A100" s="5">
        <v>43599</v>
      </c>
      <c r="B100" s="12">
        <v>39974</v>
      </c>
      <c r="C100" s="12">
        <v>4150</v>
      </c>
      <c r="D100" s="12">
        <v>44124</v>
      </c>
      <c r="F100" s="5">
        <v>44330</v>
      </c>
      <c r="G100" s="12">
        <v>33587</v>
      </c>
      <c r="H100" s="12">
        <v>2998</v>
      </c>
      <c r="I100" s="12">
        <v>36585</v>
      </c>
      <c r="K100" s="5">
        <v>43602</v>
      </c>
      <c r="L100" s="5">
        <v>44330</v>
      </c>
      <c r="M100" s="12">
        <v>-12942</v>
      </c>
      <c r="N100" s="12">
        <v>-660</v>
      </c>
      <c r="O100" s="12">
        <v>-13602</v>
      </c>
      <c r="P100" s="9">
        <v>-0.27814911130692688</v>
      </c>
      <c r="Q100" s="9">
        <v>-0.18042646254784034</v>
      </c>
      <c r="R100" s="13">
        <v>-0.27102636140833281</v>
      </c>
    </row>
    <row r="101" spans="1:18" x14ac:dyDescent="0.2">
      <c r="A101" s="5">
        <v>43600</v>
      </c>
      <c r="B101" s="12">
        <v>41397</v>
      </c>
      <c r="C101" s="12">
        <v>4180</v>
      </c>
      <c r="D101" s="12">
        <v>45577</v>
      </c>
      <c r="F101" s="5">
        <v>44331</v>
      </c>
      <c r="G101" s="12">
        <v>28985</v>
      </c>
      <c r="H101" s="12">
        <v>968</v>
      </c>
      <c r="I101" s="12">
        <v>29953</v>
      </c>
      <c r="K101" s="5">
        <v>43603</v>
      </c>
      <c r="L101" s="5">
        <v>44331</v>
      </c>
      <c r="M101" s="12">
        <v>-11942</v>
      </c>
      <c r="N101" s="12">
        <v>-204</v>
      </c>
      <c r="O101" s="12">
        <v>-12146</v>
      </c>
      <c r="P101" s="9">
        <v>-0.29178781733330073</v>
      </c>
      <c r="Q101" s="9">
        <v>-0.17406143344709901</v>
      </c>
      <c r="R101" s="13">
        <v>-0.28851041592436877</v>
      </c>
    </row>
    <row r="102" spans="1:18" x14ac:dyDescent="0.2">
      <c r="A102" s="5">
        <v>43601</v>
      </c>
      <c r="B102" s="12">
        <v>40096</v>
      </c>
      <c r="C102" s="12">
        <v>3669</v>
      </c>
      <c r="D102" s="12">
        <v>43765</v>
      </c>
      <c r="F102" s="5">
        <v>44332</v>
      </c>
      <c r="G102" s="12">
        <v>26517</v>
      </c>
      <c r="H102" s="12">
        <v>118</v>
      </c>
      <c r="I102" s="12">
        <v>26635</v>
      </c>
      <c r="K102" s="5">
        <v>43604</v>
      </c>
      <c r="L102" s="5">
        <v>44332</v>
      </c>
      <c r="M102" s="12">
        <v>-4182</v>
      </c>
      <c r="N102" s="12">
        <v>-67</v>
      </c>
      <c r="O102" s="12">
        <v>-4249</v>
      </c>
      <c r="P102" s="9">
        <v>-0.13622593569823116</v>
      </c>
      <c r="Q102" s="9">
        <v>-0.36216216216216213</v>
      </c>
      <c r="R102" s="13">
        <v>-0.13757932910244786</v>
      </c>
    </row>
    <row r="103" spans="1:18" x14ac:dyDescent="0.2">
      <c r="A103" s="5">
        <v>43602</v>
      </c>
      <c r="B103" s="12">
        <v>46529</v>
      </c>
      <c r="C103" s="12">
        <v>3658</v>
      </c>
      <c r="D103" s="12">
        <v>50187</v>
      </c>
      <c r="F103" s="5">
        <v>44333</v>
      </c>
      <c r="G103" s="12">
        <v>36512</v>
      </c>
      <c r="H103" s="12">
        <v>3485</v>
      </c>
      <c r="I103" s="12">
        <v>39997</v>
      </c>
      <c r="K103" s="5">
        <v>43605</v>
      </c>
      <c r="L103" s="5">
        <v>44333</v>
      </c>
      <c r="M103" s="12">
        <v>-2216</v>
      </c>
      <c r="N103" s="12">
        <v>23</v>
      </c>
      <c r="O103" s="12">
        <v>-2193</v>
      </c>
      <c r="P103" s="9">
        <v>-5.7219582730840712E-2</v>
      </c>
      <c r="Q103" s="9">
        <v>6.6435586366262456E-3</v>
      </c>
      <c r="R103" s="13">
        <v>-5.1979141976771781E-2</v>
      </c>
    </row>
    <row r="104" spans="1:18" x14ac:dyDescent="0.2">
      <c r="A104" s="5">
        <v>43603</v>
      </c>
      <c r="B104" s="12">
        <v>40927</v>
      </c>
      <c r="C104" s="12">
        <v>1172</v>
      </c>
      <c r="D104" s="12">
        <v>42099</v>
      </c>
      <c r="F104" s="5">
        <v>44334</v>
      </c>
      <c r="G104" s="12">
        <v>37107</v>
      </c>
      <c r="H104" s="12">
        <v>4189</v>
      </c>
      <c r="I104" s="12">
        <v>41296</v>
      </c>
      <c r="K104" s="5">
        <v>43606</v>
      </c>
      <c r="L104" s="5">
        <v>44334</v>
      </c>
      <c r="M104" s="12">
        <v>-1226</v>
      </c>
      <c r="N104" s="12">
        <v>97</v>
      </c>
      <c r="O104" s="12">
        <v>-1129</v>
      </c>
      <c r="P104" s="9">
        <v>-3.198288680771133E-2</v>
      </c>
      <c r="Q104" s="9">
        <v>2.3704789833822071E-2</v>
      </c>
      <c r="R104" s="13">
        <v>-2.661166764879197E-2</v>
      </c>
    </row>
    <row r="105" spans="1:18" x14ac:dyDescent="0.2">
      <c r="A105" s="5">
        <v>43604</v>
      </c>
      <c r="B105" s="12">
        <v>30699</v>
      </c>
      <c r="C105" s="12">
        <v>185</v>
      </c>
      <c r="D105" s="12">
        <v>30884</v>
      </c>
      <c r="F105" s="5">
        <v>44335</v>
      </c>
      <c r="G105" s="12">
        <v>38028</v>
      </c>
      <c r="H105" s="12">
        <v>3734</v>
      </c>
      <c r="I105" s="12">
        <v>41762</v>
      </c>
      <c r="K105" s="5">
        <v>43607</v>
      </c>
      <c r="L105" s="5">
        <v>44335</v>
      </c>
      <c r="M105" s="12">
        <v>-2814</v>
      </c>
      <c r="N105" s="12">
        <v>-370</v>
      </c>
      <c r="O105" s="12">
        <v>-3184</v>
      </c>
      <c r="P105" s="9">
        <v>-6.8899662112531179E-2</v>
      </c>
      <c r="Q105" s="9">
        <v>-9.0155945419103323E-2</v>
      </c>
      <c r="R105" s="13">
        <v>-7.084056423263474E-2</v>
      </c>
    </row>
    <row r="106" spans="1:18" x14ac:dyDescent="0.2">
      <c r="A106" s="5">
        <v>43605</v>
      </c>
      <c r="B106" s="12">
        <v>38728</v>
      </c>
      <c r="C106" s="12">
        <v>3462</v>
      </c>
      <c r="D106" s="12">
        <v>42190</v>
      </c>
      <c r="F106" s="5">
        <v>44336</v>
      </c>
      <c r="G106" s="12">
        <v>38651</v>
      </c>
      <c r="H106" s="12">
        <v>4065</v>
      </c>
      <c r="I106" s="12">
        <v>42716</v>
      </c>
      <c r="K106" s="5">
        <v>43608</v>
      </c>
      <c r="L106" s="5">
        <v>44336</v>
      </c>
      <c r="M106" s="12">
        <v>-2695</v>
      </c>
      <c r="N106" s="12">
        <v>29</v>
      </c>
      <c r="O106" s="12">
        <v>-2666</v>
      </c>
      <c r="P106" s="9">
        <v>-6.5181637885164179E-2</v>
      </c>
      <c r="Q106" s="9">
        <v>7.1853320118928643E-3</v>
      </c>
      <c r="R106" s="13">
        <v>-5.8745758230135281E-2</v>
      </c>
    </row>
    <row r="107" spans="1:18" x14ac:dyDescent="0.2">
      <c r="A107" s="5">
        <v>43606</v>
      </c>
      <c r="B107" s="12">
        <v>38333</v>
      </c>
      <c r="C107" s="12">
        <v>4092</v>
      </c>
      <c r="D107" s="12">
        <v>42425</v>
      </c>
      <c r="F107" s="5">
        <v>44337</v>
      </c>
      <c r="G107" s="12">
        <v>41377</v>
      </c>
      <c r="H107" s="12">
        <v>3858</v>
      </c>
      <c r="I107" s="12">
        <v>45235</v>
      </c>
      <c r="K107" s="5">
        <v>43609</v>
      </c>
      <c r="L107" s="5">
        <v>44337</v>
      </c>
      <c r="M107" s="12">
        <v>-5518</v>
      </c>
      <c r="N107" s="12">
        <v>80</v>
      </c>
      <c r="O107" s="12">
        <v>-5438</v>
      </c>
      <c r="P107" s="9">
        <v>-0.11766712869175822</v>
      </c>
      <c r="Q107" s="9">
        <v>2.1175224986765384E-2</v>
      </c>
      <c r="R107" s="13">
        <v>-0.10731553292680518</v>
      </c>
    </row>
    <row r="108" spans="1:18" x14ac:dyDescent="0.2">
      <c r="A108" s="5">
        <v>43607</v>
      </c>
      <c r="B108" s="12">
        <v>40842</v>
      </c>
      <c r="C108" s="12">
        <v>4104</v>
      </c>
      <c r="D108" s="12">
        <v>44946</v>
      </c>
      <c r="F108" s="5">
        <v>44338</v>
      </c>
      <c r="G108" s="12">
        <v>33793</v>
      </c>
      <c r="H108" s="12">
        <v>1107</v>
      </c>
      <c r="I108" s="12">
        <v>34900</v>
      </c>
      <c r="K108" s="5">
        <v>43610</v>
      </c>
      <c r="L108" s="5">
        <v>44338</v>
      </c>
      <c r="M108" s="12">
        <v>-8290</v>
      </c>
      <c r="N108" s="12">
        <v>19</v>
      </c>
      <c r="O108" s="12">
        <v>-8271</v>
      </c>
      <c r="P108" s="9">
        <v>-0.19699165933987595</v>
      </c>
      <c r="Q108" s="9">
        <v>1.7463235294117752E-2</v>
      </c>
      <c r="R108" s="13">
        <v>-0.19158694493989026</v>
      </c>
    </row>
    <row r="109" spans="1:18" x14ac:dyDescent="0.2">
      <c r="A109" s="5">
        <v>43608</v>
      </c>
      <c r="B109" s="12">
        <v>41346</v>
      </c>
      <c r="C109" s="12">
        <v>4036</v>
      </c>
      <c r="D109" s="12">
        <v>45382</v>
      </c>
      <c r="F109" s="5">
        <v>44339</v>
      </c>
      <c r="G109" s="12">
        <v>24193</v>
      </c>
      <c r="H109" s="12">
        <v>95</v>
      </c>
      <c r="I109" s="12">
        <v>24288</v>
      </c>
      <c r="K109" s="5">
        <v>43611</v>
      </c>
      <c r="L109" s="5">
        <v>44339</v>
      </c>
      <c r="M109" s="12">
        <v>-8762</v>
      </c>
      <c r="N109" s="12">
        <v>-127</v>
      </c>
      <c r="O109" s="12">
        <v>-8889</v>
      </c>
      <c r="P109" s="9">
        <v>-0.26587771203155819</v>
      </c>
      <c r="Q109" s="9">
        <v>-0.572072072072072</v>
      </c>
      <c r="R109" s="13">
        <v>-0.26792657563975042</v>
      </c>
    </row>
    <row r="110" spans="1:18" x14ac:dyDescent="0.2">
      <c r="A110" s="5">
        <v>43609</v>
      </c>
      <c r="B110" s="12">
        <v>46895</v>
      </c>
      <c r="C110" s="12">
        <v>3778</v>
      </c>
      <c r="D110" s="12">
        <v>50673</v>
      </c>
      <c r="F110" s="5">
        <v>44340</v>
      </c>
      <c r="G110" s="12">
        <v>26717</v>
      </c>
      <c r="H110" s="12">
        <v>185</v>
      </c>
      <c r="I110" s="12">
        <v>26902</v>
      </c>
      <c r="K110" s="5">
        <v>43612</v>
      </c>
      <c r="L110" s="5">
        <v>44340</v>
      </c>
      <c r="M110" s="12">
        <v>-13533</v>
      </c>
      <c r="N110" s="12">
        <v>-3452</v>
      </c>
      <c r="O110" s="12">
        <v>-16985</v>
      </c>
      <c r="P110" s="9">
        <v>-0.33622360248447203</v>
      </c>
      <c r="Q110" s="9">
        <v>-0.94913390156722577</v>
      </c>
      <c r="R110" s="13">
        <v>-0.38701665641306082</v>
      </c>
    </row>
    <row r="111" spans="1:18" x14ac:dyDescent="0.2">
      <c r="A111" s="5">
        <v>43610</v>
      </c>
      <c r="B111" s="12">
        <v>42083</v>
      </c>
      <c r="C111" s="12">
        <v>1088</v>
      </c>
      <c r="D111" s="12">
        <v>43171</v>
      </c>
      <c r="F111" s="5">
        <v>44341</v>
      </c>
      <c r="G111" s="12">
        <v>37597</v>
      </c>
      <c r="H111" s="12">
        <v>3682</v>
      </c>
      <c r="I111" s="12">
        <v>41279</v>
      </c>
      <c r="K111" s="5">
        <v>43613</v>
      </c>
      <c r="L111" s="5">
        <v>44341</v>
      </c>
      <c r="M111" s="12">
        <v>-3378</v>
      </c>
      <c r="N111" s="12">
        <v>-445</v>
      </c>
      <c r="O111" s="12">
        <v>-3823</v>
      </c>
      <c r="P111" s="9">
        <v>-8.2440512507626629E-2</v>
      </c>
      <c r="Q111" s="9">
        <v>-0.10782650835958318</v>
      </c>
      <c r="R111" s="13">
        <v>-8.4763425125271574E-2</v>
      </c>
    </row>
    <row r="112" spans="1:18" x14ac:dyDescent="0.2">
      <c r="A112" s="5">
        <v>43611</v>
      </c>
      <c r="B112" s="12">
        <v>32955</v>
      </c>
      <c r="C112" s="12">
        <v>222</v>
      </c>
      <c r="D112" s="12">
        <v>33177</v>
      </c>
      <c r="F112" s="5">
        <v>44342</v>
      </c>
      <c r="G112" s="12">
        <v>37746</v>
      </c>
      <c r="H112" s="12">
        <v>4281</v>
      </c>
      <c r="I112" s="12">
        <v>42027</v>
      </c>
      <c r="K112" s="5">
        <v>43614</v>
      </c>
      <c r="L112" s="5">
        <v>44342</v>
      </c>
      <c r="M112" s="12">
        <v>-8613</v>
      </c>
      <c r="N112" s="12">
        <v>354</v>
      </c>
      <c r="O112" s="12">
        <v>-8259</v>
      </c>
      <c r="P112" s="9">
        <v>-0.18578916715200933</v>
      </c>
      <c r="Q112" s="9">
        <v>9.0145148968678424E-2</v>
      </c>
      <c r="R112" s="13">
        <v>-0.16424054408781763</v>
      </c>
    </row>
    <row r="113" spans="1:18" x14ac:dyDescent="0.2">
      <c r="A113" s="5">
        <v>43612</v>
      </c>
      <c r="B113" s="12">
        <v>40250</v>
      </c>
      <c r="C113" s="12">
        <v>3637</v>
      </c>
      <c r="D113" s="12">
        <v>43887</v>
      </c>
      <c r="F113" s="5">
        <v>44343</v>
      </c>
      <c r="G113" s="12">
        <v>39262</v>
      </c>
      <c r="H113" s="12">
        <v>4144</v>
      </c>
      <c r="I113" s="12">
        <v>43406</v>
      </c>
      <c r="K113" s="5">
        <v>43615</v>
      </c>
      <c r="L113" s="5">
        <v>44343</v>
      </c>
      <c r="M113" s="12">
        <v>1682</v>
      </c>
      <c r="N113" s="12">
        <v>3825</v>
      </c>
      <c r="O113" s="12">
        <v>5507</v>
      </c>
      <c r="P113" s="9">
        <v>4.4757849920170401E-2</v>
      </c>
      <c r="Q113" s="9">
        <v>11.990595611285267</v>
      </c>
      <c r="R113" s="13">
        <v>0.14530726404390615</v>
      </c>
    </row>
    <row r="114" spans="1:18" x14ac:dyDescent="0.2">
      <c r="A114" s="5">
        <v>43613</v>
      </c>
      <c r="B114" s="12">
        <v>40975</v>
      </c>
      <c r="C114" s="12">
        <v>4127</v>
      </c>
      <c r="D114" s="12">
        <v>45102</v>
      </c>
      <c r="F114" s="5">
        <v>44344</v>
      </c>
      <c r="G114" s="12">
        <v>41571</v>
      </c>
      <c r="H114" s="12">
        <v>4041</v>
      </c>
      <c r="I114" s="12">
        <v>45612</v>
      </c>
      <c r="K114" s="5">
        <v>43616</v>
      </c>
      <c r="L114" s="5">
        <v>44344</v>
      </c>
      <c r="M114" s="12">
        <v>-1168</v>
      </c>
      <c r="N114" s="12">
        <v>1096</v>
      </c>
      <c r="O114" s="12">
        <v>-72</v>
      </c>
      <c r="P114" s="9">
        <v>-2.7328669365216829E-2</v>
      </c>
      <c r="Q114" s="9">
        <v>0.37215619694397284</v>
      </c>
      <c r="R114" s="13">
        <v>-1.5760441292356209E-3</v>
      </c>
    </row>
    <row r="115" spans="1:18" x14ac:dyDescent="0.2">
      <c r="A115" s="5">
        <v>43614</v>
      </c>
      <c r="B115" s="12">
        <v>46359</v>
      </c>
      <c r="C115" s="12">
        <v>3927</v>
      </c>
      <c r="D115" s="12">
        <v>50286</v>
      </c>
      <c r="F115" s="5">
        <v>44345</v>
      </c>
      <c r="G115" s="12">
        <v>31098</v>
      </c>
      <c r="H115" s="12">
        <v>1102</v>
      </c>
      <c r="I115" s="12">
        <v>32200</v>
      </c>
      <c r="K115" s="5">
        <v>43617</v>
      </c>
      <c r="L115" s="5">
        <v>44345</v>
      </c>
      <c r="M115" s="12">
        <v>-9494</v>
      </c>
      <c r="N115" s="12">
        <v>58</v>
      </c>
      <c r="O115" s="12">
        <v>-9436</v>
      </c>
      <c r="P115" s="9">
        <v>-0.23388845092629085</v>
      </c>
      <c r="Q115" s="9">
        <v>5.555555555555558E-2</v>
      </c>
      <c r="R115" s="13">
        <v>-0.22663080026899796</v>
      </c>
    </row>
    <row r="116" spans="1:18" x14ac:dyDescent="0.2">
      <c r="A116" s="5">
        <v>43615</v>
      </c>
      <c r="B116" s="12">
        <v>37580</v>
      </c>
      <c r="C116" s="12">
        <v>319</v>
      </c>
      <c r="D116" s="12">
        <v>37899</v>
      </c>
      <c r="F116" s="5">
        <v>44346</v>
      </c>
      <c r="G116" s="12">
        <v>25193</v>
      </c>
      <c r="H116" s="12">
        <v>131</v>
      </c>
      <c r="I116" s="12">
        <v>25324</v>
      </c>
      <c r="K116" s="5">
        <v>43618</v>
      </c>
      <c r="L116" s="5">
        <v>44346</v>
      </c>
      <c r="M116" s="12">
        <v>-14991</v>
      </c>
      <c r="N116" s="12">
        <v>-146</v>
      </c>
      <c r="O116" s="12">
        <v>-15137</v>
      </c>
      <c r="P116" s="9">
        <v>-0.37305892892693604</v>
      </c>
      <c r="Q116" s="9">
        <v>-0.52707581227436817</v>
      </c>
      <c r="R116" s="13">
        <v>-0.37411334371369964</v>
      </c>
    </row>
    <row r="117" spans="1:18" x14ac:dyDescent="0.2">
      <c r="A117" s="5">
        <v>43616</v>
      </c>
      <c r="B117" s="12">
        <v>42739</v>
      </c>
      <c r="C117" s="12">
        <v>2945</v>
      </c>
      <c r="D117" s="12">
        <v>45684</v>
      </c>
      <c r="F117" s="5">
        <v>44347</v>
      </c>
      <c r="G117" s="12">
        <v>37873</v>
      </c>
      <c r="H117" s="12">
        <v>3567</v>
      </c>
      <c r="I117" s="12">
        <v>41440</v>
      </c>
      <c r="K117" s="5">
        <v>43619</v>
      </c>
      <c r="L117" s="5">
        <v>44347</v>
      </c>
      <c r="M117" s="12">
        <f t="shared" ref="M117:O117" si="4">G117-B120</f>
        <v>-4246</v>
      </c>
      <c r="N117" s="12">
        <f t="shared" si="4"/>
        <v>68</v>
      </c>
      <c r="O117" s="12">
        <f t="shared" si="4"/>
        <v>-4178</v>
      </c>
      <c r="P117" s="9">
        <f t="shared" ref="P117:R117" si="5">G117/B120-1</f>
        <v>-0.1008096108644555</v>
      </c>
      <c r="Q117" s="9">
        <f t="shared" si="5"/>
        <v>1.943412403543876E-2</v>
      </c>
      <c r="R117" s="13">
        <f t="shared" si="5"/>
        <v>-9.1586654390810596E-2</v>
      </c>
    </row>
    <row r="118" spans="1:18" x14ac:dyDescent="0.2">
      <c r="A118" s="5">
        <v>43617</v>
      </c>
      <c r="B118" s="12">
        <v>40592</v>
      </c>
      <c r="C118" s="12">
        <v>1044</v>
      </c>
      <c r="D118" s="12">
        <v>41636</v>
      </c>
      <c r="F118" s="5"/>
      <c r="G118" s="12"/>
      <c r="H118" s="12"/>
      <c r="I118" s="12"/>
      <c r="K118" s="5"/>
      <c r="L118" s="5"/>
      <c r="M118" s="12"/>
      <c r="N118" s="12"/>
      <c r="O118" s="12"/>
      <c r="P118" s="9"/>
      <c r="Q118" s="9"/>
      <c r="R118" s="13"/>
    </row>
    <row r="119" spans="1:18" x14ac:dyDescent="0.2">
      <c r="A119" s="5">
        <v>43618</v>
      </c>
      <c r="B119" s="12">
        <v>40184</v>
      </c>
      <c r="C119" s="12">
        <v>277</v>
      </c>
      <c r="D119" s="12">
        <v>40461</v>
      </c>
      <c r="F119" s="5"/>
      <c r="G119" s="12"/>
      <c r="H119" s="12"/>
      <c r="I119" s="12"/>
      <c r="K119" s="5"/>
      <c r="L119" s="5"/>
      <c r="M119" s="12"/>
      <c r="N119" s="12"/>
      <c r="O119" s="12"/>
      <c r="P119" s="9"/>
      <c r="Q119" s="9"/>
      <c r="R119" s="13"/>
    </row>
    <row r="120" spans="1:18" x14ac:dyDescent="0.2">
      <c r="A120" s="5">
        <v>43619</v>
      </c>
      <c r="B120" s="12">
        <v>42119</v>
      </c>
      <c r="C120" s="12">
        <v>3499</v>
      </c>
      <c r="D120" s="12">
        <v>45618</v>
      </c>
      <c r="F120" s="5"/>
      <c r="G120" s="12"/>
      <c r="H120" s="12"/>
      <c r="I120" s="12"/>
      <c r="K120" s="5"/>
      <c r="L120" s="5"/>
      <c r="M120" s="12"/>
      <c r="N120" s="12"/>
      <c r="O120" s="12"/>
      <c r="P120" s="9"/>
      <c r="Q120" s="9"/>
      <c r="R120" s="13"/>
    </row>
    <row r="121" spans="1:18" x14ac:dyDescent="0.2">
      <c r="A121" s="5"/>
      <c r="B121" s="12"/>
      <c r="C121" s="12"/>
      <c r="D121" s="12"/>
      <c r="F121" s="5"/>
      <c r="G121" s="12"/>
      <c r="H121" s="12"/>
      <c r="I121" s="12"/>
      <c r="K121" s="5"/>
      <c r="L121" s="5"/>
      <c r="M121" s="12"/>
      <c r="N121" s="12"/>
      <c r="O121" s="12"/>
      <c r="P121" s="9"/>
      <c r="Q121" s="9"/>
      <c r="R121" s="13"/>
    </row>
  </sheetData>
  <mergeCells count="11">
    <mergeCell ref="A85:A86"/>
    <mergeCell ref="F85:F86"/>
    <mergeCell ref="K85:L86"/>
    <mergeCell ref="A47:A48"/>
    <mergeCell ref="F47:F48"/>
    <mergeCell ref="K47:L48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4"/>
  <dimension ref="A1:R121"/>
  <sheetViews>
    <sheetView zoomScale="80" zoomScaleNormal="8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140625" customWidth="1"/>
    <col min="6" max="6" width="28.5703125" bestFit="1" customWidth="1"/>
    <col min="7" max="7" width="11.85546875" customWidth="1"/>
    <col min="8" max="8" width="7.42578125" bestFit="1" customWidth="1"/>
    <col min="9" max="9" width="15.85546875" bestFit="1" customWidth="1"/>
    <col min="10" max="10" width="0.85546875" customWidth="1"/>
    <col min="11" max="12" width="24.5703125" bestFit="1" customWidth="1"/>
    <col min="13" max="13" width="11.5703125" customWidth="1"/>
    <col min="14" max="14" width="7.42578125" bestFit="1" customWidth="1"/>
    <col min="15" max="15" width="15.85546875" bestFit="1" customWidth="1"/>
    <col min="16" max="16" width="11.5703125" customWidth="1"/>
    <col min="17" max="17" width="7.28515625" bestFit="1" customWidth="1"/>
    <col min="18" max="18" width="15.85546875" style="10" bestFit="1" customWidth="1"/>
  </cols>
  <sheetData>
    <row r="1" spans="1:18" ht="15.75" x14ac:dyDescent="0.25">
      <c r="A1" s="11" t="s">
        <v>53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4" t="s">
        <v>47</v>
      </c>
      <c r="B6" s="25"/>
      <c r="C6" s="25"/>
      <c r="D6" s="25"/>
      <c r="E6" s="17"/>
      <c r="F6" s="17"/>
      <c r="G6" s="17"/>
    </row>
    <row r="7" spans="1:18" ht="15" x14ac:dyDescent="0.2">
      <c r="A7" s="24" t="s">
        <v>48</v>
      </c>
      <c r="B7" s="25"/>
      <c r="C7" s="25"/>
    </row>
    <row r="9" spans="1:18" x14ac:dyDescent="0.2">
      <c r="A9" s="26" t="s">
        <v>1</v>
      </c>
      <c r="B9" s="6"/>
      <c r="C9" s="6"/>
      <c r="D9" s="3"/>
      <c r="F9" s="26" t="s">
        <v>1</v>
      </c>
      <c r="G9" s="6"/>
      <c r="H9" s="6"/>
      <c r="I9" s="3"/>
      <c r="K9" s="26" t="s">
        <v>3</v>
      </c>
      <c r="L9" s="26"/>
      <c r="M9" s="6"/>
      <c r="N9" s="6"/>
      <c r="O9" s="3"/>
      <c r="P9" s="6"/>
      <c r="Q9" s="6"/>
      <c r="R9" s="3"/>
    </row>
    <row r="10" spans="1:18" ht="24" customHeight="1" x14ac:dyDescent="0.2">
      <c r="A10" s="27"/>
      <c r="B10" s="8" t="s">
        <v>38</v>
      </c>
      <c r="C10" s="4" t="s">
        <v>2</v>
      </c>
      <c r="D10" s="4" t="s">
        <v>0</v>
      </c>
      <c r="F10" s="27"/>
      <c r="G10" s="8" t="s">
        <v>38</v>
      </c>
      <c r="H10" s="4" t="s">
        <v>2</v>
      </c>
      <c r="I10" s="4" t="s">
        <v>0</v>
      </c>
      <c r="K10" s="27"/>
      <c r="L10" s="27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43586</v>
      </c>
      <c r="B11" s="12">
        <v>38661</v>
      </c>
      <c r="C11" s="12">
        <v>404</v>
      </c>
      <c r="D11" s="12">
        <v>39065</v>
      </c>
      <c r="F11" s="5">
        <v>44317</v>
      </c>
      <c r="G11" s="12">
        <v>16793</v>
      </c>
      <c r="H11" s="12">
        <v>277</v>
      </c>
      <c r="I11" s="12">
        <v>17070</v>
      </c>
      <c r="K11" s="5">
        <v>43589</v>
      </c>
      <c r="L11" s="5">
        <v>44317</v>
      </c>
      <c r="M11" s="12">
        <v>-34078</v>
      </c>
      <c r="N11" s="12">
        <v>-1401</v>
      </c>
      <c r="O11" s="12">
        <v>-35479</v>
      </c>
      <c r="P11" s="9">
        <v>-0.66989050736175815</v>
      </c>
      <c r="Q11" s="9">
        <v>-0.83492252681764001</v>
      </c>
      <c r="R11" s="13">
        <v>-0.67516032655236069</v>
      </c>
    </row>
    <row r="12" spans="1:18" x14ac:dyDescent="0.2">
      <c r="A12" s="5">
        <v>43587</v>
      </c>
      <c r="B12" s="12">
        <v>50934</v>
      </c>
      <c r="C12" s="12">
        <v>3724</v>
      </c>
      <c r="D12" s="12">
        <v>54658</v>
      </c>
      <c r="F12" s="5">
        <v>44318</v>
      </c>
      <c r="G12" s="12">
        <v>17918</v>
      </c>
      <c r="H12" s="12">
        <v>100</v>
      </c>
      <c r="I12" s="12">
        <v>18018</v>
      </c>
      <c r="K12" s="5">
        <v>43590</v>
      </c>
      <c r="L12" s="5">
        <v>44318</v>
      </c>
      <c r="M12" s="12">
        <v>-26501</v>
      </c>
      <c r="N12" s="12">
        <v>-348</v>
      </c>
      <c r="O12" s="12">
        <v>-26849</v>
      </c>
      <c r="P12" s="9">
        <v>-0.59661406155023755</v>
      </c>
      <c r="Q12" s="9">
        <v>-0.7767857142857143</v>
      </c>
      <c r="R12" s="13">
        <v>-0.59841308756992895</v>
      </c>
    </row>
    <row r="13" spans="1:18" x14ac:dyDescent="0.2">
      <c r="A13" s="5">
        <v>43588</v>
      </c>
      <c r="B13" s="12">
        <v>56341</v>
      </c>
      <c r="C13" s="12">
        <v>3353</v>
      </c>
      <c r="D13" s="12">
        <v>59694</v>
      </c>
      <c r="F13" s="5">
        <v>44319</v>
      </c>
      <c r="G13" s="12">
        <v>34644</v>
      </c>
      <c r="H13" s="12">
        <v>3538</v>
      </c>
      <c r="I13" s="12">
        <v>38182</v>
      </c>
      <c r="K13" s="5">
        <v>43591</v>
      </c>
      <c r="L13" s="5">
        <v>44319</v>
      </c>
      <c r="M13" s="12">
        <v>-15486</v>
      </c>
      <c r="N13" s="12">
        <v>204</v>
      </c>
      <c r="O13" s="12">
        <v>-15282</v>
      </c>
      <c r="P13" s="9">
        <v>-0.30891681627767809</v>
      </c>
      <c r="Q13" s="9">
        <v>6.1187762447510563E-2</v>
      </c>
      <c r="R13" s="13">
        <v>-0.28583719886278613</v>
      </c>
    </row>
    <row r="14" spans="1:18" x14ac:dyDescent="0.2">
      <c r="A14" s="5">
        <v>43589</v>
      </c>
      <c r="B14" s="12">
        <v>50871</v>
      </c>
      <c r="C14" s="12">
        <v>1678</v>
      </c>
      <c r="D14" s="12">
        <v>52549</v>
      </c>
      <c r="F14" s="5">
        <v>44320</v>
      </c>
      <c r="G14" s="12">
        <v>34918</v>
      </c>
      <c r="H14" s="12">
        <v>3645</v>
      </c>
      <c r="I14" s="12">
        <v>38563</v>
      </c>
      <c r="K14" s="5">
        <v>43592</v>
      </c>
      <c r="L14" s="5">
        <v>44320</v>
      </c>
      <c r="M14" s="12">
        <v>-12539</v>
      </c>
      <c r="N14" s="12">
        <v>-188</v>
      </c>
      <c r="O14" s="12">
        <v>-12727</v>
      </c>
      <c r="P14" s="9">
        <v>-0.26421813431106056</v>
      </c>
      <c r="Q14" s="9">
        <v>-4.9047743282024547E-2</v>
      </c>
      <c r="R14" s="13">
        <v>-0.2481380386040164</v>
      </c>
    </row>
    <row r="15" spans="1:18" x14ac:dyDescent="0.2">
      <c r="A15" s="5">
        <v>43590</v>
      </c>
      <c r="B15" s="12">
        <v>44419</v>
      </c>
      <c r="C15" s="12">
        <v>448</v>
      </c>
      <c r="D15" s="12">
        <v>44867</v>
      </c>
      <c r="F15" s="5">
        <v>44321</v>
      </c>
      <c r="G15" s="12">
        <v>36086</v>
      </c>
      <c r="H15" s="12">
        <v>3666</v>
      </c>
      <c r="I15" s="12">
        <v>39752</v>
      </c>
      <c r="K15" s="5">
        <v>43593</v>
      </c>
      <c r="L15" s="5">
        <v>44321</v>
      </c>
      <c r="M15" s="12">
        <v>-13281</v>
      </c>
      <c r="N15" s="12">
        <v>-270</v>
      </c>
      <c r="O15" s="12">
        <v>-13551</v>
      </c>
      <c r="P15" s="9">
        <v>-0.26902586748232626</v>
      </c>
      <c r="Q15" s="9">
        <v>-6.8597560975609762E-2</v>
      </c>
      <c r="R15" s="13">
        <v>-0.25422584094703859</v>
      </c>
    </row>
    <row r="16" spans="1:18" x14ac:dyDescent="0.2">
      <c r="A16" s="5">
        <v>43591</v>
      </c>
      <c r="B16" s="12">
        <v>50130</v>
      </c>
      <c r="C16" s="12">
        <v>3334</v>
      </c>
      <c r="D16" s="12">
        <v>53464</v>
      </c>
      <c r="F16" s="5">
        <v>44322</v>
      </c>
      <c r="G16" s="12">
        <v>36356</v>
      </c>
      <c r="H16" s="12">
        <v>3424</v>
      </c>
      <c r="I16" s="12">
        <v>39780</v>
      </c>
      <c r="K16" s="5">
        <v>43594</v>
      </c>
      <c r="L16" s="5">
        <v>44322</v>
      </c>
      <c r="M16" s="12">
        <v>-13441</v>
      </c>
      <c r="N16" s="12">
        <v>-317</v>
      </c>
      <c r="O16" s="12">
        <v>-13758</v>
      </c>
      <c r="P16" s="9">
        <v>-0.26991585838504328</v>
      </c>
      <c r="Q16" s="9">
        <v>-8.4736701416733506E-2</v>
      </c>
      <c r="R16" s="13">
        <v>-0.25697635324442447</v>
      </c>
    </row>
    <row r="17" spans="1:18" x14ac:dyDescent="0.2">
      <c r="A17" s="5">
        <v>43592</v>
      </c>
      <c r="B17" s="12">
        <v>47457</v>
      </c>
      <c r="C17" s="12">
        <v>3833</v>
      </c>
      <c r="D17" s="12">
        <v>51290</v>
      </c>
      <c r="F17" s="5">
        <v>44323</v>
      </c>
      <c r="G17" s="12">
        <v>36901</v>
      </c>
      <c r="H17" s="12">
        <v>3079</v>
      </c>
      <c r="I17" s="12">
        <v>39980</v>
      </c>
      <c r="K17" s="5">
        <v>43595</v>
      </c>
      <c r="L17" s="5">
        <v>44323</v>
      </c>
      <c r="M17" s="12">
        <v>-18029</v>
      </c>
      <c r="N17" s="12">
        <v>-225</v>
      </c>
      <c r="O17" s="12">
        <v>-18254</v>
      </c>
      <c r="P17" s="9">
        <v>-0.32821773165847445</v>
      </c>
      <c r="Q17" s="9">
        <v>-6.8099273607748145E-2</v>
      </c>
      <c r="R17" s="13">
        <v>-0.31345949101899229</v>
      </c>
    </row>
    <row r="18" spans="1:18" x14ac:dyDescent="0.2">
      <c r="A18" s="5">
        <v>43593</v>
      </c>
      <c r="B18" s="12">
        <v>49367</v>
      </c>
      <c r="C18" s="12">
        <v>3936</v>
      </c>
      <c r="D18" s="12">
        <v>53303</v>
      </c>
      <c r="F18" s="5">
        <v>44324</v>
      </c>
      <c r="G18" s="12">
        <v>23651</v>
      </c>
      <c r="H18" s="12">
        <v>1344</v>
      </c>
      <c r="I18" s="12">
        <v>24995</v>
      </c>
      <c r="K18" s="5">
        <v>43596</v>
      </c>
      <c r="L18" s="5">
        <v>44324</v>
      </c>
      <c r="M18" s="12">
        <v>-21541</v>
      </c>
      <c r="N18" s="12">
        <v>-268</v>
      </c>
      <c r="O18" s="12">
        <v>-21809</v>
      </c>
      <c r="P18" s="9">
        <v>-0.47665516020534604</v>
      </c>
      <c r="Q18" s="9">
        <v>-0.16625310173697272</v>
      </c>
      <c r="R18" s="13">
        <v>-0.46596444748312105</v>
      </c>
    </row>
    <row r="19" spans="1:18" x14ac:dyDescent="0.2">
      <c r="A19" s="5">
        <v>43594</v>
      </c>
      <c r="B19" s="12">
        <v>49797</v>
      </c>
      <c r="C19" s="12">
        <v>3741</v>
      </c>
      <c r="D19" s="12">
        <v>53538</v>
      </c>
      <c r="F19" s="5">
        <v>44325</v>
      </c>
      <c r="G19" s="12">
        <v>19771</v>
      </c>
      <c r="H19" s="12">
        <v>143</v>
      </c>
      <c r="I19" s="12">
        <v>19914</v>
      </c>
      <c r="K19" s="5">
        <v>43597</v>
      </c>
      <c r="L19" s="5">
        <v>44325</v>
      </c>
      <c r="M19" s="12">
        <v>-23701</v>
      </c>
      <c r="N19" s="12">
        <v>-266</v>
      </c>
      <c r="O19" s="12">
        <v>-23967</v>
      </c>
      <c r="P19" s="9">
        <v>-0.54520150901729847</v>
      </c>
      <c r="Q19" s="9">
        <v>-0.65036674816625917</v>
      </c>
      <c r="R19" s="13">
        <v>-0.54618171873931765</v>
      </c>
    </row>
    <row r="20" spans="1:18" x14ac:dyDescent="0.2">
      <c r="A20" s="5">
        <v>43595</v>
      </c>
      <c r="B20" s="12">
        <v>54930</v>
      </c>
      <c r="C20" s="12">
        <v>3304</v>
      </c>
      <c r="D20" s="12">
        <v>58234</v>
      </c>
      <c r="F20" s="5">
        <v>44326</v>
      </c>
      <c r="G20" s="12">
        <v>34770</v>
      </c>
      <c r="H20" s="12">
        <v>3160</v>
      </c>
      <c r="I20" s="12">
        <v>37930</v>
      </c>
      <c r="K20" s="5">
        <v>43598</v>
      </c>
      <c r="L20" s="5">
        <v>44326</v>
      </c>
      <c r="M20" s="12">
        <v>-14878</v>
      </c>
      <c r="N20" s="12">
        <v>-198</v>
      </c>
      <c r="O20" s="12">
        <v>-15076</v>
      </c>
      <c r="P20" s="9">
        <v>-0.2996696745085401</v>
      </c>
      <c r="Q20" s="9">
        <v>-5.8963668850506301E-2</v>
      </c>
      <c r="R20" s="13">
        <v>-0.28442063162660836</v>
      </c>
    </row>
    <row r="21" spans="1:18" x14ac:dyDescent="0.2">
      <c r="A21" s="5">
        <v>43596</v>
      </c>
      <c r="B21" s="12">
        <v>45192</v>
      </c>
      <c r="C21" s="12">
        <v>1612</v>
      </c>
      <c r="D21" s="12">
        <v>46804</v>
      </c>
      <c r="F21" s="5">
        <v>44327</v>
      </c>
      <c r="G21" s="12">
        <v>34637</v>
      </c>
      <c r="H21" s="12">
        <v>3456</v>
      </c>
      <c r="I21" s="12">
        <v>38093</v>
      </c>
      <c r="K21" s="5">
        <v>43599</v>
      </c>
      <c r="L21" s="5">
        <v>44327</v>
      </c>
      <c r="M21" s="12">
        <v>-13383</v>
      </c>
      <c r="N21" s="12">
        <v>-550</v>
      </c>
      <c r="O21" s="12">
        <v>-13933</v>
      </c>
      <c r="P21" s="9">
        <v>-0.27869637650978762</v>
      </c>
      <c r="Q21" s="9">
        <v>-0.1372940589116326</v>
      </c>
      <c r="R21" s="13">
        <v>-0.26780840349056245</v>
      </c>
    </row>
    <row r="22" spans="1:18" x14ac:dyDescent="0.2">
      <c r="A22" s="5">
        <v>43597</v>
      </c>
      <c r="B22" s="12">
        <v>43472</v>
      </c>
      <c r="C22" s="12">
        <v>409</v>
      </c>
      <c r="D22" s="12">
        <v>43881</v>
      </c>
      <c r="F22" s="5">
        <v>44328</v>
      </c>
      <c r="G22" s="12">
        <v>40788</v>
      </c>
      <c r="H22" s="12">
        <v>3449</v>
      </c>
      <c r="I22" s="12">
        <v>44237</v>
      </c>
      <c r="K22" s="5">
        <v>43600</v>
      </c>
      <c r="L22" s="5">
        <v>44328</v>
      </c>
      <c r="M22" s="12">
        <v>-8885</v>
      </c>
      <c r="N22" s="12">
        <v>-681</v>
      </c>
      <c r="O22" s="12">
        <v>-9566</v>
      </c>
      <c r="P22" s="9">
        <v>-0.17886980854790324</v>
      </c>
      <c r="Q22" s="9">
        <v>-0.16489104116222764</v>
      </c>
      <c r="R22" s="13">
        <v>-0.17779677713138675</v>
      </c>
    </row>
    <row r="23" spans="1:18" x14ac:dyDescent="0.2">
      <c r="A23" s="5">
        <v>43598</v>
      </c>
      <c r="B23" s="12">
        <v>49648</v>
      </c>
      <c r="C23" s="12">
        <v>3358</v>
      </c>
      <c r="D23" s="12">
        <v>53006</v>
      </c>
      <c r="F23" s="5">
        <v>44329</v>
      </c>
      <c r="G23" s="12">
        <v>22824</v>
      </c>
      <c r="H23" s="12">
        <v>242</v>
      </c>
      <c r="I23" s="12">
        <v>23066</v>
      </c>
      <c r="K23" s="5">
        <v>43601</v>
      </c>
      <c r="L23" s="5">
        <v>44329</v>
      </c>
      <c r="M23" s="12">
        <v>-27647</v>
      </c>
      <c r="N23" s="12">
        <v>-3468</v>
      </c>
      <c r="O23" s="12">
        <v>-31115</v>
      </c>
      <c r="P23" s="9">
        <v>-0.5477799132174912</v>
      </c>
      <c r="Q23" s="9">
        <v>-0.93477088948787057</v>
      </c>
      <c r="R23" s="13">
        <v>-0.57427880622358396</v>
      </c>
    </row>
    <row r="24" spans="1:18" x14ac:dyDescent="0.2">
      <c r="A24" s="5">
        <v>43599</v>
      </c>
      <c r="B24" s="12">
        <v>48020</v>
      </c>
      <c r="C24" s="12">
        <v>4006</v>
      </c>
      <c r="D24" s="12">
        <v>52026</v>
      </c>
      <c r="F24" s="5">
        <v>44330</v>
      </c>
      <c r="G24" s="12">
        <v>32755</v>
      </c>
      <c r="H24" s="12">
        <v>3412</v>
      </c>
      <c r="I24" s="12">
        <v>36167</v>
      </c>
      <c r="K24" s="5">
        <v>43602</v>
      </c>
      <c r="L24" s="5">
        <v>44330</v>
      </c>
      <c r="M24" s="12">
        <v>-21869</v>
      </c>
      <c r="N24" s="12">
        <v>85</v>
      </c>
      <c r="O24" s="12">
        <v>-21784</v>
      </c>
      <c r="P24" s="9">
        <v>-0.4003551552431166</v>
      </c>
      <c r="Q24" s="9">
        <v>2.5548542230237503E-2</v>
      </c>
      <c r="R24" s="13">
        <v>-0.37590378078031439</v>
      </c>
    </row>
    <row r="25" spans="1:18" x14ac:dyDescent="0.2">
      <c r="A25" s="5">
        <v>43600</v>
      </c>
      <c r="B25" s="12">
        <v>49673</v>
      </c>
      <c r="C25" s="12">
        <v>4130</v>
      </c>
      <c r="D25" s="12">
        <v>53803</v>
      </c>
      <c r="F25" s="5">
        <v>44331</v>
      </c>
      <c r="G25" s="12">
        <v>24213</v>
      </c>
      <c r="H25" s="12">
        <v>1248</v>
      </c>
      <c r="I25" s="12">
        <v>25461</v>
      </c>
      <c r="K25" s="5">
        <v>43603</v>
      </c>
      <c r="L25" s="5">
        <v>44331</v>
      </c>
      <c r="M25" s="12">
        <v>-22652</v>
      </c>
      <c r="N25" s="12">
        <v>-346</v>
      </c>
      <c r="O25" s="12">
        <v>-22998</v>
      </c>
      <c r="P25" s="9">
        <v>-0.48334578043315912</v>
      </c>
      <c r="Q25" s="9">
        <v>-0.21706398996235887</v>
      </c>
      <c r="R25" s="13">
        <v>-0.47458676406859412</v>
      </c>
    </row>
    <row r="26" spans="1:18" x14ac:dyDescent="0.2">
      <c r="A26" s="5">
        <v>43601</v>
      </c>
      <c r="B26" s="12">
        <v>50471</v>
      </c>
      <c r="C26" s="12">
        <v>3710</v>
      </c>
      <c r="D26" s="12">
        <v>54181</v>
      </c>
      <c r="F26" s="5">
        <v>44332</v>
      </c>
      <c r="G26" s="12">
        <v>28068</v>
      </c>
      <c r="H26" s="12">
        <v>164</v>
      </c>
      <c r="I26" s="12">
        <v>28232</v>
      </c>
      <c r="K26" s="5">
        <v>43604</v>
      </c>
      <c r="L26" s="5">
        <v>44332</v>
      </c>
      <c r="M26" s="12">
        <v>-15236</v>
      </c>
      <c r="N26" s="12">
        <v>-253</v>
      </c>
      <c r="O26" s="12">
        <v>-15489</v>
      </c>
      <c r="P26" s="9">
        <v>-0.35183816737483831</v>
      </c>
      <c r="Q26" s="9">
        <v>-0.60671462829736211</v>
      </c>
      <c r="R26" s="13">
        <v>-0.35426911552800711</v>
      </c>
    </row>
    <row r="27" spans="1:18" x14ac:dyDescent="0.2">
      <c r="A27" s="5">
        <v>43602</v>
      </c>
      <c r="B27" s="12">
        <v>54624</v>
      </c>
      <c r="C27" s="12">
        <v>3327</v>
      </c>
      <c r="D27" s="12">
        <v>57951</v>
      </c>
      <c r="F27" s="5">
        <v>44333</v>
      </c>
      <c r="G27" s="12">
        <v>37819</v>
      </c>
      <c r="H27" s="12">
        <v>3377</v>
      </c>
      <c r="I27" s="12">
        <v>41196</v>
      </c>
      <c r="K27" s="5">
        <v>43605</v>
      </c>
      <c r="L27" s="5">
        <v>44333</v>
      </c>
      <c r="M27" s="12">
        <v>-11281</v>
      </c>
      <c r="N27" s="12">
        <v>130</v>
      </c>
      <c r="O27" s="12">
        <v>-11151</v>
      </c>
      <c r="P27" s="9">
        <v>-0.22975560081466395</v>
      </c>
      <c r="Q27" s="9">
        <v>4.0036957191253553E-2</v>
      </c>
      <c r="R27" s="13">
        <v>-0.21302080348444041</v>
      </c>
    </row>
    <row r="28" spans="1:18" x14ac:dyDescent="0.2">
      <c r="A28" s="5">
        <v>43603</v>
      </c>
      <c r="B28" s="12">
        <v>46865</v>
      </c>
      <c r="C28" s="12">
        <v>1594</v>
      </c>
      <c r="D28" s="12">
        <v>48459</v>
      </c>
      <c r="F28" s="5">
        <v>44334</v>
      </c>
      <c r="G28" s="12">
        <v>39867</v>
      </c>
      <c r="H28" s="12">
        <v>4091</v>
      </c>
      <c r="I28" s="12">
        <v>43958</v>
      </c>
      <c r="K28" s="5">
        <v>43606</v>
      </c>
      <c r="L28" s="5">
        <v>44334</v>
      </c>
      <c r="M28" s="12">
        <v>-7020</v>
      </c>
      <c r="N28" s="12">
        <v>238</v>
      </c>
      <c r="O28" s="12">
        <v>-6782</v>
      </c>
      <c r="P28" s="9">
        <v>-0.14972167125215941</v>
      </c>
      <c r="Q28" s="9">
        <v>6.1770049312224184E-2</v>
      </c>
      <c r="R28" s="13">
        <v>-0.13366180528182892</v>
      </c>
    </row>
    <row r="29" spans="1:18" x14ac:dyDescent="0.2">
      <c r="A29" s="5">
        <v>43604</v>
      </c>
      <c r="B29" s="12">
        <v>43304</v>
      </c>
      <c r="C29" s="12">
        <v>417</v>
      </c>
      <c r="D29" s="12">
        <v>43721</v>
      </c>
      <c r="F29" s="5">
        <v>44335</v>
      </c>
      <c r="G29" s="12">
        <v>42779</v>
      </c>
      <c r="H29" s="12">
        <v>3544</v>
      </c>
      <c r="I29" s="12">
        <v>46323</v>
      </c>
      <c r="K29" s="5">
        <v>43607</v>
      </c>
      <c r="L29" s="5">
        <v>44335</v>
      </c>
      <c r="M29" s="12">
        <v>-6627</v>
      </c>
      <c r="N29" s="12">
        <v>-529</v>
      </c>
      <c r="O29" s="12">
        <v>-7156</v>
      </c>
      <c r="P29" s="9">
        <v>-0.13413350605189656</v>
      </c>
      <c r="Q29" s="9">
        <v>-0.12987969555610113</v>
      </c>
      <c r="R29" s="13">
        <v>-0.13380953271377549</v>
      </c>
    </row>
    <row r="30" spans="1:18" x14ac:dyDescent="0.2">
      <c r="A30" s="5">
        <v>43605</v>
      </c>
      <c r="B30" s="12">
        <v>49100</v>
      </c>
      <c r="C30" s="12">
        <v>3247</v>
      </c>
      <c r="D30" s="12">
        <v>52347</v>
      </c>
      <c r="F30" s="5">
        <v>44336</v>
      </c>
      <c r="G30" s="12">
        <v>39969</v>
      </c>
      <c r="H30" s="12">
        <v>3526</v>
      </c>
      <c r="I30" s="12">
        <v>43495</v>
      </c>
      <c r="K30" s="5">
        <v>43608</v>
      </c>
      <c r="L30" s="5">
        <v>44336</v>
      </c>
      <c r="M30" s="12">
        <v>-9998</v>
      </c>
      <c r="N30" s="12">
        <v>-299</v>
      </c>
      <c r="O30" s="12">
        <v>-10297</v>
      </c>
      <c r="P30" s="9">
        <v>-0.20009206076010166</v>
      </c>
      <c r="Q30" s="9">
        <v>-7.8169934640522909E-2</v>
      </c>
      <c r="R30" s="13">
        <v>-0.19142251635930996</v>
      </c>
    </row>
    <row r="31" spans="1:18" x14ac:dyDescent="0.2">
      <c r="A31" s="5">
        <v>43606</v>
      </c>
      <c r="B31" s="12">
        <v>46887</v>
      </c>
      <c r="C31" s="12">
        <v>3853</v>
      </c>
      <c r="D31" s="12">
        <v>50740</v>
      </c>
      <c r="F31" s="5">
        <v>44337</v>
      </c>
      <c r="G31" s="12">
        <v>43950</v>
      </c>
      <c r="H31" s="12">
        <v>3151</v>
      </c>
      <c r="I31" s="12">
        <v>47101</v>
      </c>
      <c r="K31" s="5">
        <v>43609</v>
      </c>
      <c r="L31" s="5">
        <v>44337</v>
      </c>
      <c r="M31" s="12">
        <v>-13217</v>
      </c>
      <c r="N31" s="12">
        <v>-224</v>
      </c>
      <c r="O31" s="12">
        <v>-13441</v>
      </c>
      <c r="P31" s="9">
        <v>-0.23119981807686252</v>
      </c>
      <c r="Q31" s="9">
        <v>-6.6370370370370413E-2</v>
      </c>
      <c r="R31" s="13">
        <v>-0.222011165802253</v>
      </c>
    </row>
    <row r="32" spans="1:18" x14ac:dyDescent="0.2">
      <c r="A32" s="5">
        <v>43607</v>
      </c>
      <c r="B32" s="12">
        <v>49406</v>
      </c>
      <c r="C32" s="12">
        <v>4073</v>
      </c>
      <c r="D32" s="12">
        <v>53479</v>
      </c>
      <c r="F32" s="5">
        <v>44338</v>
      </c>
      <c r="G32" s="12">
        <v>35047</v>
      </c>
      <c r="H32" s="12">
        <v>1602</v>
      </c>
      <c r="I32" s="12">
        <v>36649</v>
      </c>
      <c r="K32" s="5">
        <v>43610</v>
      </c>
      <c r="L32" s="5">
        <v>44338</v>
      </c>
      <c r="M32" s="12">
        <v>-14468</v>
      </c>
      <c r="N32" s="12">
        <v>31</v>
      </c>
      <c r="O32" s="12">
        <v>-14437</v>
      </c>
      <c r="P32" s="9">
        <v>-0.29219428456023422</v>
      </c>
      <c r="Q32" s="9">
        <v>1.9732654360280044E-2</v>
      </c>
      <c r="R32" s="13">
        <v>-0.28260188701405475</v>
      </c>
    </row>
    <row r="33" spans="1:18" x14ac:dyDescent="0.2">
      <c r="A33" s="5">
        <v>43608</v>
      </c>
      <c r="B33" s="12">
        <v>49967</v>
      </c>
      <c r="C33" s="12">
        <v>3825</v>
      </c>
      <c r="D33" s="12">
        <v>53792</v>
      </c>
      <c r="F33" s="5">
        <v>44339</v>
      </c>
      <c r="G33" s="12">
        <v>27867</v>
      </c>
      <c r="H33" s="12">
        <v>221</v>
      </c>
      <c r="I33" s="12">
        <v>28088</v>
      </c>
      <c r="K33" s="5">
        <v>43611</v>
      </c>
      <c r="L33" s="5">
        <v>44339</v>
      </c>
      <c r="M33" s="12">
        <v>-19327</v>
      </c>
      <c r="N33" s="12">
        <v>-232</v>
      </c>
      <c r="O33" s="12">
        <v>-19559</v>
      </c>
      <c r="P33" s="9">
        <v>-0.40952239691486203</v>
      </c>
      <c r="Q33" s="9">
        <v>-0.51214128035320083</v>
      </c>
      <c r="R33" s="13">
        <v>-0.4104980376518983</v>
      </c>
    </row>
    <row r="34" spans="1:18" x14ac:dyDescent="0.2">
      <c r="A34" s="5">
        <v>43609</v>
      </c>
      <c r="B34" s="12">
        <v>57167</v>
      </c>
      <c r="C34" s="12">
        <v>3375</v>
      </c>
      <c r="D34" s="12">
        <v>60542</v>
      </c>
      <c r="F34" s="5">
        <v>44340</v>
      </c>
      <c r="G34" s="12">
        <v>31986</v>
      </c>
      <c r="H34" s="12">
        <v>193</v>
      </c>
      <c r="I34" s="12">
        <v>32179</v>
      </c>
      <c r="K34" s="5">
        <v>43612</v>
      </c>
      <c r="L34" s="5">
        <v>44340</v>
      </c>
      <c r="M34" s="12">
        <v>-19915</v>
      </c>
      <c r="N34" s="12">
        <v>-3193</v>
      </c>
      <c r="O34" s="12">
        <v>-23108</v>
      </c>
      <c r="P34" s="9">
        <v>-0.38371129650681102</v>
      </c>
      <c r="Q34" s="9">
        <v>-0.94300059066745423</v>
      </c>
      <c r="R34" s="13">
        <v>-0.41796444010346012</v>
      </c>
    </row>
    <row r="35" spans="1:18" x14ac:dyDescent="0.2">
      <c r="A35" s="5">
        <v>43610</v>
      </c>
      <c r="B35" s="12">
        <v>49515</v>
      </c>
      <c r="C35" s="12">
        <v>1571</v>
      </c>
      <c r="D35" s="12">
        <v>51086</v>
      </c>
      <c r="F35" s="5">
        <v>44341</v>
      </c>
      <c r="G35" s="12">
        <v>39413</v>
      </c>
      <c r="H35" s="12">
        <v>3778</v>
      </c>
      <c r="I35" s="12">
        <v>43191</v>
      </c>
      <c r="K35" s="5">
        <v>43613</v>
      </c>
      <c r="L35" s="5">
        <v>44341</v>
      </c>
      <c r="M35" s="12">
        <v>-11181</v>
      </c>
      <c r="N35" s="12">
        <v>-129</v>
      </c>
      <c r="O35" s="12">
        <v>-11310</v>
      </c>
      <c r="P35" s="9">
        <v>-0.22099458433806385</v>
      </c>
      <c r="Q35" s="9">
        <v>-3.3017660609163002E-2</v>
      </c>
      <c r="R35" s="13">
        <v>-0.20751912808939288</v>
      </c>
    </row>
    <row r="36" spans="1:18" x14ac:dyDescent="0.2">
      <c r="A36" s="5">
        <v>43611</v>
      </c>
      <c r="B36" s="12">
        <v>47194</v>
      </c>
      <c r="C36" s="12">
        <v>453</v>
      </c>
      <c r="D36" s="12">
        <v>47647</v>
      </c>
      <c r="F36" s="5">
        <v>44342</v>
      </c>
      <c r="G36" s="12">
        <v>40179</v>
      </c>
      <c r="H36" s="12">
        <v>3662</v>
      </c>
      <c r="I36" s="12">
        <v>43841</v>
      </c>
      <c r="K36" s="5">
        <v>43614</v>
      </c>
      <c r="L36" s="5">
        <v>44342</v>
      </c>
      <c r="M36" s="12">
        <v>-15651</v>
      </c>
      <c r="N36" s="12">
        <v>-208</v>
      </c>
      <c r="O36" s="12">
        <v>-15859</v>
      </c>
      <c r="P36" s="9">
        <v>-0.28033315421816229</v>
      </c>
      <c r="Q36" s="9">
        <v>-5.374677002583983E-2</v>
      </c>
      <c r="R36" s="13">
        <v>-0.26564489112227807</v>
      </c>
    </row>
    <row r="37" spans="1:18" x14ac:dyDescent="0.2">
      <c r="A37" s="5">
        <v>43612</v>
      </c>
      <c r="B37" s="12">
        <v>51901</v>
      </c>
      <c r="C37" s="12">
        <v>3386</v>
      </c>
      <c r="D37" s="12">
        <v>55287</v>
      </c>
      <c r="F37" s="5">
        <v>44343</v>
      </c>
      <c r="G37" s="12">
        <v>41147</v>
      </c>
      <c r="H37" s="12">
        <v>3708</v>
      </c>
      <c r="I37" s="12">
        <v>44855</v>
      </c>
      <c r="K37" s="5">
        <v>43615</v>
      </c>
      <c r="L37" s="5">
        <v>44343</v>
      </c>
      <c r="M37" s="12">
        <v>-6478</v>
      </c>
      <c r="N37" s="12">
        <v>3154</v>
      </c>
      <c r="O37" s="12">
        <v>-3324</v>
      </c>
      <c r="P37" s="9">
        <v>-0.13602099737532813</v>
      </c>
      <c r="Q37" s="9">
        <v>5.6931407942238268</v>
      </c>
      <c r="R37" s="13">
        <v>-6.8992714668216437E-2</v>
      </c>
    </row>
    <row r="38" spans="1:18" x14ac:dyDescent="0.2">
      <c r="A38" s="5">
        <v>43613</v>
      </c>
      <c r="B38" s="12">
        <v>50594</v>
      </c>
      <c r="C38" s="12">
        <v>3907</v>
      </c>
      <c r="D38" s="12">
        <v>54501</v>
      </c>
      <c r="F38" s="5">
        <v>44344</v>
      </c>
      <c r="G38" s="12">
        <v>44526</v>
      </c>
      <c r="H38" s="12">
        <v>3454</v>
      </c>
      <c r="I38" s="12">
        <v>47980</v>
      </c>
      <c r="K38" s="5">
        <v>43616</v>
      </c>
      <c r="L38" s="5">
        <v>44344</v>
      </c>
      <c r="M38" s="12">
        <v>-8226</v>
      </c>
      <c r="N38" s="12">
        <v>-181</v>
      </c>
      <c r="O38" s="12">
        <v>-8407</v>
      </c>
      <c r="P38" s="9">
        <v>-0.15593721565059149</v>
      </c>
      <c r="Q38" s="9">
        <v>-4.9793672627235219E-2</v>
      </c>
      <c r="R38" s="13">
        <v>-0.14909464947594309</v>
      </c>
    </row>
    <row r="39" spans="1:18" x14ac:dyDescent="0.2">
      <c r="A39" s="5">
        <v>43614</v>
      </c>
      <c r="B39" s="12">
        <v>55830</v>
      </c>
      <c r="C39" s="12">
        <v>3870</v>
      </c>
      <c r="D39" s="12">
        <v>59700</v>
      </c>
      <c r="F39" s="5">
        <v>44345</v>
      </c>
      <c r="G39" s="12">
        <v>36020</v>
      </c>
      <c r="H39" s="12">
        <v>1543</v>
      </c>
      <c r="I39" s="12">
        <v>37563</v>
      </c>
      <c r="K39" s="5">
        <v>43617</v>
      </c>
      <c r="L39" s="5">
        <v>44345</v>
      </c>
      <c r="M39" s="12">
        <v>-15394</v>
      </c>
      <c r="N39" s="12">
        <v>19</v>
      </c>
      <c r="O39" s="12">
        <v>-15375</v>
      </c>
      <c r="P39" s="9">
        <v>-0.29941261135099384</v>
      </c>
      <c r="Q39" s="9">
        <v>1.2467191601049921E-2</v>
      </c>
      <c r="R39" s="13">
        <v>-0.29043409271222942</v>
      </c>
    </row>
    <row r="40" spans="1:18" x14ac:dyDescent="0.2">
      <c r="A40" s="5">
        <v>43615</v>
      </c>
      <c r="B40" s="12">
        <v>47625</v>
      </c>
      <c r="C40" s="12">
        <v>554</v>
      </c>
      <c r="D40" s="12">
        <v>48179</v>
      </c>
      <c r="F40" s="5">
        <v>44346</v>
      </c>
      <c r="G40" s="12">
        <v>29352</v>
      </c>
      <c r="H40" s="12">
        <v>179</v>
      </c>
      <c r="I40" s="12">
        <v>29531</v>
      </c>
      <c r="K40" s="5">
        <v>43618</v>
      </c>
      <c r="L40" s="5">
        <v>44346</v>
      </c>
      <c r="M40" s="12">
        <v>-23419</v>
      </c>
      <c r="N40" s="12">
        <v>-329</v>
      </c>
      <c r="O40" s="12">
        <v>-23748</v>
      </c>
      <c r="P40" s="9">
        <v>-0.44378541244243996</v>
      </c>
      <c r="Q40" s="9">
        <v>-0.64763779527559051</v>
      </c>
      <c r="R40" s="13">
        <v>-0.44572908650687892</v>
      </c>
    </row>
    <row r="41" spans="1:18" x14ac:dyDescent="0.2">
      <c r="A41" s="5">
        <v>43616</v>
      </c>
      <c r="B41" s="12">
        <v>52752</v>
      </c>
      <c r="C41" s="12">
        <v>3635</v>
      </c>
      <c r="D41" s="12">
        <v>56387</v>
      </c>
      <c r="F41" s="5">
        <v>44347</v>
      </c>
      <c r="G41" s="12">
        <v>38876</v>
      </c>
      <c r="H41" s="12">
        <v>3316</v>
      </c>
      <c r="I41" s="12">
        <v>42192</v>
      </c>
      <c r="K41" s="5">
        <v>43619</v>
      </c>
      <c r="L41" s="5">
        <v>44347</v>
      </c>
      <c r="M41" s="12">
        <f t="shared" ref="M41:O41" si="0">G41-B44</f>
        <v>-15603</v>
      </c>
      <c r="N41" s="12">
        <f t="shared" si="0"/>
        <v>-61</v>
      </c>
      <c r="O41" s="12">
        <f t="shared" si="0"/>
        <v>-15664</v>
      </c>
      <c r="P41" s="9">
        <f t="shared" ref="P41:R41" si="1">G41/B44-1</f>
        <v>-0.28640393546137044</v>
      </c>
      <c r="Q41" s="9">
        <f t="shared" si="1"/>
        <v>-1.8063369854900757E-2</v>
      </c>
      <c r="R41" s="13">
        <f t="shared" si="1"/>
        <v>-0.27074115044247793</v>
      </c>
    </row>
    <row r="42" spans="1:18" x14ac:dyDescent="0.2">
      <c r="A42" s="5">
        <v>43617</v>
      </c>
      <c r="B42" s="12">
        <v>51414</v>
      </c>
      <c r="C42" s="12">
        <v>1524</v>
      </c>
      <c r="D42" s="12">
        <v>52938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">
      <c r="A43" s="5">
        <v>43618</v>
      </c>
      <c r="B43" s="12">
        <v>52771</v>
      </c>
      <c r="C43" s="12">
        <v>508</v>
      </c>
      <c r="D43" s="12">
        <v>53279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5">
        <v>43619</v>
      </c>
      <c r="B44" s="12">
        <v>54479</v>
      </c>
      <c r="C44" s="12">
        <v>3377</v>
      </c>
      <c r="D44" s="12">
        <v>57856</v>
      </c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">
      <c r="A45" s="5"/>
      <c r="B45" s="12"/>
      <c r="C45" s="12"/>
      <c r="D45" s="12"/>
      <c r="F45" s="5"/>
      <c r="G45" s="12"/>
      <c r="H45" s="12"/>
      <c r="I45" s="12"/>
      <c r="K45" s="5"/>
      <c r="L45" s="5"/>
      <c r="M45" s="12"/>
      <c r="N45" s="12"/>
      <c r="O45" s="12"/>
      <c r="P45" s="9"/>
      <c r="Q45" s="9"/>
      <c r="R45" s="13"/>
    </row>
    <row r="46" spans="1:18" x14ac:dyDescent="0.2">
      <c r="A46" s="1"/>
      <c r="B46" s="2"/>
      <c r="C46" s="2"/>
      <c r="D46" s="2"/>
      <c r="F46" s="1"/>
      <c r="G46" s="2"/>
      <c r="H46" s="2"/>
      <c r="I46" s="2"/>
    </row>
    <row r="47" spans="1:18" ht="12.95" customHeight="1" x14ac:dyDescent="0.2">
      <c r="A47" s="26" t="s">
        <v>16</v>
      </c>
      <c r="B47" s="6"/>
      <c r="C47" s="6"/>
      <c r="D47" s="3"/>
      <c r="F47" s="26" t="s">
        <v>16</v>
      </c>
      <c r="G47" s="6"/>
      <c r="H47" s="6"/>
      <c r="I47" s="3"/>
      <c r="K47" s="26" t="s">
        <v>17</v>
      </c>
      <c r="L47" s="26"/>
      <c r="M47" s="6"/>
      <c r="N47" s="6"/>
      <c r="O47" s="3"/>
      <c r="P47" s="6"/>
      <c r="Q47" s="6"/>
      <c r="R47" s="3"/>
    </row>
    <row r="48" spans="1:18" ht="27" customHeight="1" x14ac:dyDescent="0.2">
      <c r="A48" s="27"/>
      <c r="B48" s="8" t="s">
        <v>38</v>
      </c>
      <c r="C48" s="4" t="s">
        <v>2</v>
      </c>
      <c r="D48" s="4" t="s">
        <v>0</v>
      </c>
      <c r="F48" s="27"/>
      <c r="G48" s="8" t="s">
        <v>38</v>
      </c>
      <c r="H48" s="4" t="s">
        <v>2</v>
      </c>
      <c r="I48" s="4" t="s">
        <v>0</v>
      </c>
      <c r="K48" s="27"/>
      <c r="L48" s="27"/>
      <c r="M48" s="8" t="s">
        <v>38</v>
      </c>
      <c r="N48" s="4" t="s">
        <v>2</v>
      </c>
      <c r="O48" s="4" t="s">
        <v>0</v>
      </c>
      <c r="P48" s="8" t="s">
        <v>38</v>
      </c>
      <c r="Q48" s="4" t="s">
        <v>2</v>
      </c>
      <c r="R48" s="4" t="s">
        <v>0</v>
      </c>
    </row>
    <row r="49" spans="1:18" x14ac:dyDescent="0.2">
      <c r="A49" s="5">
        <v>43586</v>
      </c>
      <c r="B49" s="12">
        <v>19786</v>
      </c>
      <c r="C49" s="12">
        <v>252</v>
      </c>
      <c r="D49" s="12">
        <v>20038</v>
      </c>
      <c r="F49" s="5">
        <v>44317</v>
      </c>
      <c r="G49" s="12">
        <v>9478</v>
      </c>
      <c r="H49" s="12">
        <v>141</v>
      </c>
      <c r="I49" s="12">
        <v>9619</v>
      </c>
      <c r="K49" s="5">
        <v>43589</v>
      </c>
      <c r="L49" s="5">
        <v>44317</v>
      </c>
      <c r="M49" s="12">
        <v>-13854</v>
      </c>
      <c r="N49" s="12">
        <v>-616</v>
      </c>
      <c r="O49" s="12">
        <v>-14470</v>
      </c>
      <c r="P49" s="9">
        <v>-0.5937767872449855</v>
      </c>
      <c r="Q49" s="9">
        <v>-0.81373844121532368</v>
      </c>
      <c r="R49" s="13">
        <v>-0.60068911121258672</v>
      </c>
    </row>
    <row r="50" spans="1:18" x14ac:dyDescent="0.2">
      <c r="A50" s="5">
        <v>43587</v>
      </c>
      <c r="B50" s="12">
        <v>25430</v>
      </c>
      <c r="C50" s="12">
        <v>1843</v>
      </c>
      <c r="D50" s="12">
        <v>27273</v>
      </c>
      <c r="F50" s="5">
        <v>44318</v>
      </c>
      <c r="G50" s="12">
        <v>8159</v>
      </c>
      <c r="H50" s="12">
        <v>48</v>
      </c>
      <c r="I50" s="12">
        <v>8207</v>
      </c>
      <c r="K50" s="5">
        <v>43590</v>
      </c>
      <c r="L50" s="5">
        <v>44318</v>
      </c>
      <c r="M50" s="12">
        <v>-11058</v>
      </c>
      <c r="N50" s="12">
        <v>-154</v>
      </c>
      <c r="O50" s="12">
        <v>-11212</v>
      </c>
      <c r="P50" s="9">
        <v>-0.57542800645262004</v>
      </c>
      <c r="Q50" s="9">
        <v>-0.76237623762376239</v>
      </c>
      <c r="R50" s="13">
        <v>-0.57737267624491473</v>
      </c>
    </row>
    <row r="51" spans="1:18" x14ac:dyDescent="0.2">
      <c r="A51" s="5">
        <v>43588</v>
      </c>
      <c r="B51" s="12">
        <v>28093</v>
      </c>
      <c r="C51" s="12">
        <v>1744</v>
      </c>
      <c r="D51" s="12">
        <v>29837</v>
      </c>
      <c r="F51" s="5">
        <v>44319</v>
      </c>
      <c r="G51" s="12">
        <v>17138</v>
      </c>
      <c r="H51" s="12">
        <v>1546</v>
      </c>
      <c r="I51" s="12">
        <v>18684</v>
      </c>
      <c r="K51" s="5">
        <v>43591</v>
      </c>
      <c r="L51" s="5">
        <v>44319</v>
      </c>
      <c r="M51" s="12">
        <v>-7421</v>
      </c>
      <c r="N51" s="12">
        <v>12</v>
      </c>
      <c r="O51" s="12">
        <v>-7409</v>
      </c>
      <c r="P51" s="9">
        <v>-0.30217028380634392</v>
      </c>
      <c r="Q51" s="9">
        <v>7.8226857887875312E-3</v>
      </c>
      <c r="R51" s="13">
        <v>-0.28394588586977354</v>
      </c>
    </row>
    <row r="52" spans="1:18" x14ac:dyDescent="0.2">
      <c r="A52" s="5">
        <v>43589</v>
      </c>
      <c r="B52" s="12">
        <v>23332</v>
      </c>
      <c r="C52" s="12">
        <v>757</v>
      </c>
      <c r="D52" s="12">
        <v>24089</v>
      </c>
      <c r="F52" s="5">
        <v>44320</v>
      </c>
      <c r="G52" s="12">
        <v>17832</v>
      </c>
      <c r="H52" s="12">
        <v>1829</v>
      </c>
      <c r="I52" s="12">
        <v>19661</v>
      </c>
      <c r="K52" s="5">
        <v>43592</v>
      </c>
      <c r="L52" s="5">
        <v>44320</v>
      </c>
      <c r="M52" s="12">
        <v>-5742</v>
      </c>
      <c r="N52" s="12">
        <v>-49</v>
      </c>
      <c r="O52" s="12">
        <v>-5791</v>
      </c>
      <c r="P52" s="9">
        <v>-0.24357342835327056</v>
      </c>
      <c r="Q52" s="9">
        <v>-2.6091586794462218E-2</v>
      </c>
      <c r="R52" s="13">
        <v>-0.2275263240609775</v>
      </c>
    </row>
    <row r="53" spans="1:18" x14ac:dyDescent="0.2">
      <c r="A53" s="5">
        <v>43590</v>
      </c>
      <c r="B53" s="12">
        <v>19217</v>
      </c>
      <c r="C53" s="12">
        <v>202</v>
      </c>
      <c r="D53" s="12">
        <v>19419</v>
      </c>
      <c r="F53" s="5">
        <v>44321</v>
      </c>
      <c r="G53" s="12">
        <v>18709</v>
      </c>
      <c r="H53" s="12">
        <v>1863</v>
      </c>
      <c r="I53" s="12">
        <v>20572</v>
      </c>
      <c r="K53" s="5">
        <v>43593</v>
      </c>
      <c r="L53" s="5">
        <v>44321</v>
      </c>
      <c r="M53" s="12">
        <v>-6408</v>
      </c>
      <c r="N53" s="12">
        <v>-113</v>
      </c>
      <c r="O53" s="12">
        <v>-6521</v>
      </c>
      <c r="P53" s="9">
        <v>-0.25512601027192738</v>
      </c>
      <c r="Q53" s="9">
        <v>-5.7186234817813819E-2</v>
      </c>
      <c r="R53" s="13">
        <v>-0.24068947698667553</v>
      </c>
    </row>
    <row r="54" spans="1:18" x14ac:dyDescent="0.2">
      <c r="A54" s="5">
        <v>43591</v>
      </c>
      <c r="B54" s="12">
        <v>24559</v>
      </c>
      <c r="C54" s="12">
        <v>1534</v>
      </c>
      <c r="D54" s="12">
        <v>26093</v>
      </c>
      <c r="F54" s="5">
        <v>44322</v>
      </c>
      <c r="G54" s="12">
        <v>19043</v>
      </c>
      <c r="H54" s="12">
        <v>1794</v>
      </c>
      <c r="I54" s="12">
        <v>20837</v>
      </c>
      <c r="K54" s="5">
        <v>43594</v>
      </c>
      <c r="L54" s="5">
        <v>44322</v>
      </c>
      <c r="M54" s="12">
        <v>-6399</v>
      </c>
      <c r="N54" s="12">
        <v>-121</v>
      </c>
      <c r="O54" s="12">
        <v>-6520</v>
      </c>
      <c r="P54" s="9">
        <v>-0.25151324581400836</v>
      </c>
      <c r="Q54" s="9">
        <v>-6.3185378590078334E-2</v>
      </c>
      <c r="R54" s="13">
        <v>-0.23833022626750011</v>
      </c>
    </row>
    <row r="55" spans="1:18" x14ac:dyDescent="0.2">
      <c r="A55" s="5">
        <v>43592</v>
      </c>
      <c r="B55" s="12">
        <v>23574</v>
      </c>
      <c r="C55" s="12">
        <v>1878</v>
      </c>
      <c r="D55" s="12">
        <v>25452</v>
      </c>
      <c r="F55" s="5">
        <v>44323</v>
      </c>
      <c r="G55" s="12">
        <v>19531</v>
      </c>
      <c r="H55" s="12">
        <v>1624</v>
      </c>
      <c r="I55" s="12">
        <v>21155</v>
      </c>
      <c r="K55" s="5">
        <v>43595</v>
      </c>
      <c r="L55" s="5">
        <v>44323</v>
      </c>
      <c r="M55" s="12">
        <v>-10232</v>
      </c>
      <c r="N55" s="12">
        <v>-155</v>
      </c>
      <c r="O55" s="12">
        <v>-10387</v>
      </c>
      <c r="P55" s="9">
        <v>-0.34378254880220405</v>
      </c>
      <c r="Q55" s="9">
        <v>-8.7127599775154607E-2</v>
      </c>
      <c r="R55" s="13">
        <v>-0.3293069558049585</v>
      </c>
    </row>
    <row r="56" spans="1:18" x14ac:dyDescent="0.2">
      <c r="A56" s="5">
        <v>43593</v>
      </c>
      <c r="B56" s="12">
        <v>25117</v>
      </c>
      <c r="C56" s="12">
        <v>1976</v>
      </c>
      <c r="D56" s="12">
        <v>27093</v>
      </c>
      <c r="F56" s="5">
        <v>44324</v>
      </c>
      <c r="G56" s="12">
        <v>12553</v>
      </c>
      <c r="H56" s="12">
        <v>636</v>
      </c>
      <c r="I56" s="12">
        <v>13189</v>
      </c>
      <c r="K56" s="5">
        <v>43596</v>
      </c>
      <c r="L56" s="5">
        <v>44324</v>
      </c>
      <c r="M56" s="12">
        <v>-10776</v>
      </c>
      <c r="N56" s="12">
        <v>-103</v>
      </c>
      <c r="O56" s="12">
        <v>-10879</v>
      </c>
      <c r="P56" s="9">
        <v>-0.46191435552316862</v>
      </c>
      <c r="Q56" s="9">
        <v>-0.13937753721244928</v>
      </c>
      <c r="R56" s="13">
        <v>-0.45201096892138937</v>
      </c>
    </row>
    <row r="57" spans="1:18" x14ac:dyDescent="0.2">
      <c r="A57" s="5">
        <v>43594</v>
      </c>
      <c r="B57" s="12">
        <v>25442</v>
      </c>
      <c r="C57" s="12">
        <v>1915</v>
      </c>
      <c r="D57" s="12">
        <v>27357</v>
      </c>
      <c r="F57" s="5">
        <v>44325</v>
      </c>
      <c r="G57" s="12">
        <v>9093</v>
      </c>
      <c r="H57" s="12">
        <v>34</v>
      </c>
      <c r="I57" s="12">
        <v>9127</v>
      </c>
      <c r="K57" s="5">
        <v>43597</v>
      </c>
      <c r="L57" s="5">
        <v>44325</v>
      </c>
      <c r="M57" s="12">
        <v>-10403</v>
      </c>
      <c r="N57" s="12">
        <v>-134</v>
      </c>
      <c r="O57" s="12">
        <v>-10537</v>
      </c>
      <c r="P57" s="9">
        <v>-0.533596635207222</v>
      </c>
      <c r="Q57" s="9">
        <v>-0.79761904761904767</v>
      </c>
      <c r="R57" s="13">
        <v>-0.53585231895850283</v>
      </c>
    </row>
    <row r="58" spans="1:18" x14ac:dyDescent="0.2">
      <c r="A58" s="5">
        <v>43595</v>
      </c>
      <c r="B58" s="12">
        <v>29763</v>
      </c>
      <c r="C58" s="12">
        <v>1779</v>
      </c>
      <c r="D58" s="12">
        <v>31542</v>
      </c>
      <c r="F58" s="5">
        <v>44326</v>
      </c>
      <c r="G58">
        <v>17501</v>
      </c>
      <c r="H58" s="12">
        <v>1331</v>
      </c>
      <c r="I58">
        <v>18832</v>
      </c>
      <c r="K58" s="5">
        <v>43598</v>
      </c>
      <c r="L58" s="5">
        <v>44326</v>
      </c>
      <c r="M58" s="12">
        <v>-7139</v>
      </c>
      <c r="N58" s="12">
        <v>-270</v>
      </c>
      <c r="O58" s="12">
        <v>-7409</v>
      </c>
      <c r="P58" s="9">
        <v>-0.28973214285714288</v>
      </c>
      <c r="Q58" s="9">
        <v>-0.1686445971267958</v>
      </c>
      <c r="R58" s="13">
        <v>-0.28234442284973893</v>
      </c>
    </row>
    <row r="59" spans="1:18" x14ac:dyDescent="0.2">
      <c r="A59" s="5">
        <v>43596</v>
      </c>
      <c r="B59" s="12">
        <v>23329</v>
      </c>
      <c r="C59" s="12">
        <v>739</v>
      </c>
      <c r="D59" s="12">
        <v>24068</v>
      </c>
      <c r="F59" s="5">
        <v>44327</v>
      </c>
      <c r="G59">
        <v>18197</v>
      </c>
      <c r="H59" s="12">
        <v>1679</v>
      </c>
      <c r="I59">
        <v>19876</v>
      </c>
      <c r="K59" s="5">
        <v>43599</v>
      </c>
      <c r="L59" s="5">
        <v>44327</v>
      </c>
      <c r="M59" s="12">
        <v>-5758</v>
      </c>
      <c r="N59" s="12">
        <v>-319</v>
      </c>
      <c r="O59" s="12">
        <v>-6077</v>
      </c>
      <c r="P59" s="9">
        <v>-0.24036735545815069</v>
      </c>
      <c r="Q59" s="9">
        <v>-0.15965965965965967</v>
      </c>
      <c r="R59" s="13">
        <v>-0.23415404770161441</v>
      </c>
    </row>
    <row r="60" spans="1:18" x14ac:dyDescent="0.2">
      <c r="A60" s="5">
        <v>43597</v>
      </c>
      <c r="B60" s="12">
        <v>19496</v>
      </c>
      <c r="C60" s="12">
        <v>168</v>
      </c>
      <c r="D60" s="12">
        <v>19664</v>
      </c>
      <c r="F60" s="5">
        <v>44328</v>
      </c>
      <c r="G60">
        <v>23139</v>
      </c>
      <c r="H60" s="12">
        <v>1983</v>
      </c>
      <c r="I60">
        <v>25122</v>
      </c>
      <c r="K60" s="5">
        <v>43600</v>
      </c>
      <c r="L60" s="5">
        <v>44328</v>
      </c>
      <c r="M60" s="12">
        <v>-2098</v>
      </c>
      <c r="N60" s="12">
        <v>-157</v>
      </c>
      <c r="O60" s="12">
        <v>-2255</v>
      </c>
      <c r="P60" s="9">
        <v>-8.3131909497959344E-2</v>
      </c>
      <c r="Q60" s="9">
        <v>-7.3364485981308403E-2</v>
      </c>
      <c r="R60" s="13">
        <v>-8.2368411440260081E-2</v>
      </c>
    </row>
    <row r="61" spans="1:18" x14ac:dyDescent="0.2">
      <c r="A61" s="5">
        <v>43598</v>
      </c>
      <c r="B61" s="12">
        <v>24640</v>
      </c>
      <c r="C61" s="12">
        <v>1601</v>
      </c>
      <c r="D61" s="12">
        <v>26241</v>
      </c>
      <c r="F61" s="5">
        <v>44329</v>
      </c>
      <c r="G61">
        <v>13393</v>
      </c>
      <c r="H61" s="12">
        <v>190</v>
      </c>
      <c r="I61">
        <v>13583</v>
      </c>
      <c r="K61" s="5">
        <v>43601</v>
      </c>
      <c r="L61" s="5">
        <v>44329</v>
      </c>
      <c r="M61" s="12">
        <v>-12784</v>
      </c>
      <c r="N61" s="12">
        <v>-1779</v>
      </c>
      <c r="O61" s="12">
        <v>-14563</v>
      </c>
      <c r="P61" s="9">
        <v>-0.48836765099132828</v>
      </c>
      <c r="Q61" s="9">
        <v>-0.90350431691213817</v>
      </c>
      <c r="R61" s="13">
        <v>-0.51740922333546502</v>
      </c>
    </row>
    <row r="62" spans="1:18" x14ac:dyDescent="0.2">
      <c r="A62" s="5">
        <v>43599</v>
      </c>
      <c r="B62" s="12">
        <v>23955</v>
      </c>
      <c r="C62" s="12">
        <v>1998</v>
      </c>
      <c r="D62" s="12">
        <v>25953</v>
      </c>
      <c r="F62" s="5">
        <v>44330</v>
      </c>
      <c r="G62">
        <v>17154</v>
      </c>
      <c r="H62" s="12">
        <v>1651</v>
      </c>
      <c r="I62">
        <v>18805</v>
      </c>
      <c r="K62" s="5">
        <v>43602</v>
      </c>
      <c r="L62" s="5">
        <v>44330</v>
      </c>
      <c r="M62" s="12">
        <v>-11599</v>
      </c>
      <c r="N62" s="12">
        <v>-53</v>
      </c>
      <c r="O62" s="12">
        <v>-11652</v>
      </c>
      <c r="P62" s="9">
        <v>-0.40340138420338745</v>
      </c>
      <c r="Q62" s="9">
        <v>-3.1103286384976503E-2</v>
      </c>
      <c r="R62" s="13">
        <v>-0.38257215090127061</v>
      </c>
    </row>
    <row r="63" spans="1:18" x14ac:dyDescent="0.2">
      <c r="A63" s="5">
        <v>43600</v>
      </c>
      <c r="B63" s="12">
        <v>25237</v>
      </c>
      <c r="C63" s="12">
        <v>2140</v>
      </c>
      <c r="D63" s="12">
        <v>27377</v>
      </c>
      <c r="F63" s="5">
        <v>44331</v>
      </c>
      <c r="G63">
        <v>11853</v>
      </c>
      <c r="H63" s="12">
        <v>589</v>
      </c>
      <c r="I63">
        <v>12442</v>
      </c>
      <c r="K63" s="5">
        <v>43603</v>
      </c>
      <c r="L63" s="5">
        <v>44331</v>
      </c>
      <c r="M63" s="12">
        <v>-12236</v>
      </c>
      <c r="N63" s="12">
        <v>-122</v>
      </c>
      <c r="O63" s="12">
        <v>-12358</v>
      </c>
      <c r="P63" s="9">
        <v>-0.50794968657893647</v>
      </c>
      <c r="Q63" s="9">
        <v>-0.17158931082981721</v>
      </c>
      <c r="R63" s="13">
        <v>-0.49830645161290321</v>
      </c>
    </row>
    <row r="64" spans="1:18" x14ac:dyDescent="0.2">
      <c r="A64" s="5">
        <v>43601</v>
      </c>
      <c r="B64" s="12">
        <v>26177</v>
      </c>
      <c r="C64" s="12">
        <v>1969</v>
      </c>
      <c r="D64" s="12">
        <v>28146</v>
      </c>
      <c r="F64" s="5">
        <v>44332</v>
      </c>
      <c r="G64">
        <v>10897</v>
      </c>
      <c r="H64" s="12">
        <v>71</v>
      </c>
      <c r="I64">
        <v>10968</v>
      </c>
      <c r="K64" s="5">
        <v>43604</v>
      </c>
      <c r="L64" s="5">
        <v>44332</v>
      </c>
      <c r="M64" s="12">
        <v>-9217</v>
      </c>
      <c r="N64" s="12">
        <v>-136</v>
      </c>
      <c r="O64" s="12">
        <v>-9353</v>
      </c>
      <c r="P64" s="9">
        <v>-0.45823804315402206</v>
      </c>
      <c r="Q64" s="9">
        <v>-0.65700483091787443</v>
      </c>
      <c r="R64" s="13">
        <v>-0.46026278234338858</v>
      </c>
    </row>
    <row r="65" spans="1:18" x14ac:dyDescent="0.2">
      <c r="A65" s="5">
        <v>43602</v>
      </c>
      <c r="B65" s="12">
        <v>28753</v>
      </c>
      <c r="C65" s="12">
        <v>1704</v>
      </c>
      <c r="D65" s="12">
        <v>30457</v>
      </c>
      <c r="F65" s="5">
        <v>44333</v>
      </c>
      <c r="G65" s="12">
        <v>18573</v>
      </c>
      <c r="H65" s="12">
        <v>1577</v>
      </c>
      <c r="I65" s="12">
        <v>20150</v>
      </c>
      <c r="K65" s="5">
        <v>43605</v>
      </c>
      <c r="L65" s="5">
        <v>44333</v>
      </c>
      <c r="M65" s="12">
        <v>-5293</v>
      </c>
      <c r="N65" s="12">
        <v>48</v>
      </c>
      <c r="O65" s="12">
        <v>-5245</v>
      </c>
      <c r="P65" s="9">
        <v>-0.22177993798709461</v>
      </c>
      <c r="Q65" s="9">
        <v>3.1393067364290372E-2</v>
      </c>
      <c r="R65" s="13">
        <v>-0.20653671982673749</v>
      </c>
    </row>
    <row r="66" spans="1:18" x14ac:dyDescent="0.2">
      <c r="A66" s="5">
        <v>43603</v>
      </c>
      <c r="B66" s="12">
        <v>24089</v>
      </c>
      <c r="C66" s="12">
        <v>711</v>
      </c>
      <c r="D66" s="12">
        <v>24800</v>
      </c>
      <c r="F66" s="5">
        <v>44334</v>
      </c>
      <c r="G66" s="12">
        <v>20713</v>
      </c>
      <c r="H66" s="12">
        <v>2291</v>
      </c>
      <c r="I66" s="12">
        <v>23004</v>
      </c>
      <c r="K66" s="5">
        <v>43606</v>
      </c>
      <c r="L66" s="5">
        <v>44334</v>
      </c>
      <c r="M66" s="12">
        <v>-2951</v>
      </c>
      <c r="N66" s="12">
        <v>395</v>
      </c>
      <c r="O66" s="12">
        <v>-2556</v>
      </c>
      <c r="P66" s="9">
        <v>-0.1247041920216363</v>
      </c>
      <c r="Q66" s="9">
        <v>0.20833333333333326</v>
      </c>
      <c r="R66" s="13">
        <v>-9.9999999999999978E-2</v>
      </c>
    </row>
    <row r="67" spans="1:18" x14ac:dyDescent="0.2">
      <c r="A67" s="5">
        <v>43604</v>
      </c>
      <c r="B67" s="12">
        <v>20114</v>
      </c>
      <c r="C67" s="12">
        <v>207</v>
      </c>
      <c r="D67" s="12">
        <v>20321</v>
      </c>
      <c r="F67" s="5">
        <v>44335</v>
      </c>
      <c r="G67" s="12">
        <v>22118</v>
      </c>
      <c r="H67" s="12">
        <v>1841</v>
      </c>
      <c r="I67" s="12">
        <v>23959</v>
      </c>
      <c r="K67" s="5">
        <v>43607</v>
      </c>
      <c r="L67" s="5">
        <v>44335</v>
      </c>
      <c r="M67" s="12">
        <v>-3363</v>
      </c>
      <c r="N67" s="12">
        <v>-249</v>
      </c>
      <c r="O67" s="12">
        <v>-3612</v>
      </c>
      <c r="P67" s="9">
        <v>-0.13198069149562419</v>
      </c>
      <c r="Q67" s="9">
        <v>-0.11913875598086121</v>
      </c>
      <c r="R67" s="13">
        <v>-0.131007217728773</v>
      </c>
    </row>
    <row r="68" spans="1:18" x14ac:dyDescent="0.2">
      <c r="A68" s="5">
        <v>43605</v>
      </c>
      <c r="B68" s="12">
        <v>23866</v>
      </c>
      <c r="C68" s="12">
        <v>1529</v>
      </c>
      <c r="D68" s="12">
        <v>25395</v>
      </c>
      <c r="F68" s="5">
        <v>44336</v>
      </c>
      <c r="G68" s="12">
        <v>21736</v>
      </c>
      <c r="H68" s="12">
        <v>1861</v>
      </c>
      <c r="I68" s="12">
        <v>23597</v>
      </c>
      <c r="K68" s="5">
        <v>43608</v>
      </c>
      <c r="L68" s="5">
        <v>44336</v>
      </c>
      <c r="M68" s="12">
        <v>-3678</v>
      </c>
      <c r="N68" s="12">
        <v>-130</v>
      </c>
      <c r="O68" s="12">
        <v>-3808</v>
      </c>
      <c r="P68" s="9">
        <v>-0.14472338081372471</v>
      </c>
      <c r="Q68" s="9">
        <v>-6.5293822199899543E-2</v>
      </c>
      <c r="R68" s="13">
        <v>-0.13895274584929762</v>
      </c>
    </row>
    <row r="69" spans="1:18" x14ac:dyDescent="0.2">
      <c r="A69" s="5">
        <v>43606</v>
      </c>
      <c r="B69" s="12">
        <v>23664</v>
      </c>
      <c r="C69" s="12">
        <v>1896</v>
      </c>
      <c r="D69" s="12">
        <v>25560</v>
      </c>
      <c r="F69" s="5">
        <v>44337</v>
      </c>
      <c r="G69" s="12">
        <v>25602</v>
      </c>
      <c r="H69" s="12">
        <v>1700</v>
      </c>
      <c r="I69" s="12">
        <v>27302</v>
      </c>
      <c r="K69" s="5">
        <v>43609</v>
      </c>
      <c r="L69" s="5">
        <v>44337</v>
      </c>
      <c r="M69" s="12">
        <v>-5518</v>
      </c>
      <c r="N69" s="12">
        <v>-30</v>
      </c>
      <c r="O69" s="12">
        <v>-5548</v>
      </c>
      <c r="P69" s="9">
        <v>-0.17731362467866318</v>
      </c>
      <c r="Q69" s="9">
        <v>-1.7341040462427793E-2</v>
      </c>
      <c r="R69" s="13">
        <v>-0.16888888888888887</v>
      </c>
    </row>
    <row r="70" spans="1:18" x14ac:dyDescent="0.2">
      <c r="A70" s="5">
        <v>43607</v>
      </c>
      <c r="B70" s="12">
        <v>25481</v>
      </c>
      <c r="C70" s="12">
        <v>2090</v>
      </c>
      <c r="D70" s="12">
        <v>27571</v>
      </c>
      <c r="F70" s="5">
        <v>44338</v>
      </c>
      <c r="G70" s="12">
        <v>22836</v>
      </c>
      <c r="H70" s="12">
        <v>944</v>
      </c>
      <c r="I70" s="12">
        <v>23780</v>
      </c>
      <c r="K70" s="5">
        <v>43610</v>
      </c>
      <c r="L70" s="5">
        <v>44338</v>
      </c>
      <c r="M70" s="12">
        <v>-4529</v>
      </c>
      <c r="N70" s="12">
        <v>157</v>
      </c>
      <c r="O70" s="12">
        <v>-4372</v>
      </c>
      <c r="P70" s="9">
        <v>-0.16550338023022104</v>
      </c>
      <c r="Q70" s="9">
        <v>0.19949174078780185</v>
      </c>
      <c r="R70" s="13">
        <v>-0.1552998010798522</v>
      </c>
    </row>
    <row r="71" spans="1:18" x14ac:dyDescent="0.2">
      <c r="A71" s="5">
        <v>43608</v>
      </c>
      <c r="B71" s="12">
        <v>25414</v>
      </c>
      <c r="C71" s="12">
        <v>1991</v>
      </c>
      <c r="D71" s="12">
        <v>27405</v>
      </c>
      <c r="F71" s="5">
        <v>44339</v>
      </c>
      <c r="G71" s="12">
        <v>14999</v>
      </c>
      <c r="H71" s="12">
        <v>109</v>
      </c>
      <c r="I71" s="12">
        <v>15108</v>
      </c>
      <c r="K71" s="5">
        <v>43611</v>
      </c>
      <c r="L71" s="5">
        <v>44339</v>
      </c>
      <c r="M71" s="12">
        <v>-8114</v>
      </c>
      <c r="N71" s="12">
        <v>-108</v>
      </c>
      <c r="O71" s="12">
        <v>-8222</v>
      </c>
      <c r="P71" s="9">
        <v>-0.35105784623372127</v>
      </c>
      <c r="Q71" s="9">
        <v>-0.49769585253456217</v>
      </c>
      <c r="R71" s="13">
        <v>-0.35242177453921986</v>
      </c>
    </row>
    <row r="72" spans="1:18" x14ac:dyDescent="0.2">
      <c r="A72" s="5">
        <v>43609</v>
      </c>
      <c r="B72" s="12">
        <v>31120</v>
      </c>
      <c r="C72" s="12">
        <v>1730</v>
      </c>
      <c r="D72" s="12">
        <v>32850</v>
      </c>
      <c r="F72" s="5">
        <v>44340</v>
      </c>
      <c r="G72" s="12">
        <v>11698</v>
      </c>
      <c r="H72" s="12">
        <v>87</v>
      </c>
      <c r="I72" s="12">
        <v>11785</v>
      </c>
      <c r="K72" s="5">
        <v>43612</v>
      </c>
      <c r="L72" s="5">
        <v>44340</v>
      </c>
      <c r="M72" s="12">
        <v>-13862</v>
      </c>
      <c r="N72" s="12">
        <v>-1509</v>
      </c>
      <c r="O72" s="12">
        <v>-15371</v>
      </c>
      <c r="P72" s="9">
        <v>-0.54233176838810637</v>
      </c>
      <c r="Q72" s="9">
        <v>-0.94548872180451127</v>
      </c>
      <c r="R72" s="13">
        <v>-0.56602592428929155</v>
      </c>
    </row>
    <row r="73" spans="1:18" x14ac:dyDescent="0.2">
      <c r="A73" s="5">
        <v>43610</v>
      </c>
      <c r="B73" s="12">
        <v>27365</v>
      </c>
      <c r="C73" s="12">
        <v>787</v>
      </c>
      <c r="D73" s="12">
        <v>28152</v>
      </c>
      <c r="F73" s="5">
        <v>44341</v>
      </c>
      <c r="G73" s="12">
        <v>19736</v>
      </c>
      <c r="H73" s="12">
        <v>1425</v>
      </c>
      <c r="I73" s="12">
        <v>21161</v>
      </c>
      <c r="K73" s="5">
        <v>43613</v>
      </c>
      <c r="L73" s="5">
        <v>44341</v>
      </c>
      <c r="M73" s="12">
        <v>-6497</v>
      </c>
      <c r="N73" s="12">
        <v>-455</v>
      </c>
      <c r="O73" s="12">
        <v>-6952</v>
      </c>
      <c r="P73" s="9">
        <v>-0.24766515457629701</v>
      </c>
      <c r="Q73" s="9">
        <v>-0.24202127659574468</v>
      </c>
      <c r="R73" s="13">
        <v>-0.24728773165439477</v>
      </c>
    </row>
    <row r="74" spans="1:18" x14ac:dyDescent="0.2">
      <c r="A74" s="5">
        <v>43611</v>
      </c>
      <c r="B74" s="12">
        <v>23113</v>
      </c>
      <c r="C74" s="12">
        <v>217</v>
      </c>
      <c r="D74" s="12">
        <v>23330</v>
      </c>
      <c r="F74" s="5">
        <v>44342</v>
      </c>
      <c r="G74" s="12">
        <v>21161</v>
      </c>
      <c r="H74" s="12">
        <v>2010</v>
      </c>
      <c r="I74" s="12">
        <v>23171</v>
      </c>
      <c r="K74" s="5">
        <v>43614</v>
      </c>
      <c r="L74" s="5">
        <v>44342</v>
      </c>
      <c r="M74" s="12">
        <v>-9893</v>
      </c>
      <c r="N74" s="12">
        <v>-238</v>
      </c>
      <c r="O74" s="12">
        <v>-10131</v>
      </c>
      <c r="P74" s="9">
        <v>-0.31857409673472015</v>
      </c>
      <c r="Q74" s="9">
        <v>-0.10587188612099641</v>
      </c>
      <c r="R74" s="13">
        <v>-0.30421596300522491</v>
      </c>
    </row>
    <row r="75" spans="1:18" x14ac:dyDescent="0.2">
      <c r="A75" s="5">
        <v>43612</v>
      </c>
      <c r="B75" s="12">
        <v>25560</v>
      </c>
      <c r="C75" s="12">
        <v>1596</v>
      </c>
      <c r="D75" s="12">
        <v>27156</v>
      </c>
      <c r="F75" s="5">
        <v>44343</v>
      </c>
      <c r="G75" s="12">
        <v>21651</v>
      </c>
      <c r="H75" s="12">
        <v>2004</v>
      </c>
      <c r="I75" s="12">
        <v>23655</v>
      </c>
      <c r="K75" s="5">
        <v>43615</v>
      </c>
      <c r="L75" s="5">
        <v>44343</v>
      </c>
      <c r="M75" s="12">
        <v>-6699</v>
      </c>
      <c r="N75" s="12">
        <v>1601</v>
      </c>
      <c r="O75" s="12">
        <v>-5098</v>
      </c>
      <c r="P75" s="9">
        <v>-0.23629629629629634</v>
      </c>
      <c r="Q75" s="9">
        <v>3.9727047146401988</v>
      </c>
      <c r="R75" s="13">
        <v>-0.17730323792299929</v>
      </c>
    </row>
    <row r="76" spans="1:18" x14ac:dyDescent="0.2">
      <c r="A76" s="5">
        <v>43613</v>
      </c>
      <c r="B76" s="12">
        <v>26233</v>
      </c>
      <c r="C76" s="12">
        <v>1880</v>
      </c>
      <c r="D76" s="12">
        <v>28113</v>
      </c>
      <c r="F76" s="5">
        <v>44344</v>
      </c>
      <c r="G76" s="12">
        <v>24680</v>
      </c>
      <c r="H76" s="12">
        <v>1850</v>
      </c>
      <c r="I76" s="12">
        <v>26530</v>
      </c>
      <c r="K76" s="5">
        <v>43616</v>
      </c>
      <c r="L76" s="5">
        <v>44344</v>
      </c>
      <c r="M76" s="12">
        <v>-2844</v>
      </c>
      <c r="N76" s="12">
        <v>129</v>
      </c>
      <c r="O76" s="12">
        <v>-2715</v>
      </c>
      <c r="P76" s="9">
        <v>-0.10332800465048686</v>
      </c>
      <c r="Q76" s="9">
        <v>7.4956420685647895E-2</v>
      </c>
      <c r="R76" s="13">
        <v>-9.2836382287570518E-2</v>
      </c>
    </row>
    <row r="77" spans="1:18" x14ac:dyDescent="0.2">
      <c r="A77" s="5">
        <v>43614</v>
      </c>
      <c r="B77" s="12">
        <v>31054</v>
      </c>
      <c r="C77" s="12">
        <v>2248</v>
      </c>
      <c r="D77" s="12">
        <v>33302</v>
      </c>
      <c r="F77" s="5">
        <v>44345</v>
      </c>
      <c r="G77" s="12">
        <v>19418</v>
      </c>
      <c r="H77" s="12">
        <v>750</v>
      </c>
      <c r="I77" s="12">
        <v>20168</v>
      </c>
      <c r="K77" s="5">
        <v>43617</v>
      </c>
      <c r="L77" s="5">
        <v>44345</v>
      </c>
      <c r="M77" s="12">
        <v>-4322</v>
      </c>
      <c r="N77" s="12">
        <v>47</v>
      </c>
      <c r="O77" s="12">
        <v>-4275</v>
      </c>
      <c r="P77" s="9">
        <v>-0.18205560235888796</v>
      </c>
      <c r="Q77" s="9">
        <v>6.6856330014224641E-2</v>
      </c>
      <c r="R77" s="13">
        <v>-0.17489669844127154</v>
      </c>
    </row>
    <row r="78" spans="1:18" x14ac:dyDescent="0.2">
      <c r="A78" s="5">
        <v>43615</v>
      </c>
      <c r="B78" s="12">
        <v>28350</v>
      </c>
      <c r="C78" s="12">
        <v>403</v>
      </c>
      <c r="D78" s="12">
        <v>28753</v>
      </c>
      <c r="F78" s="5">
        <v>44346</v>
      </c>
      <c r="G78" s="12">
        <v>13184</v>
      </c>
      <c r="H78" s="12">
        <v>77</v>
      </c>
      <c r="I78" s="12">
        <v>13261</v>
      </c>
      <c r="K78" s="5">
        <v>43618</v>
      </c>
      <c r="L78" s="5">
        <v>44346</v>
      </c>
      <c r="M78" s="12">
        <v>-7134</v>
      </c>
      <c r="N78" s="12">
        <v>-123</v>
      </c>
      <c r="O78" s="12">
        <v>-7257</v>
      </c>
      <c r="P78" s="9">
        <v>-0.35111723594842015</v>
      </c>
      <c r="Q78" s="9">
        <v>-0.61499999999999999</v>
      </c>
      <c r="R78" s="13">
        <v>-0.35368944341553754</v>
      </c>
    </row>
    <row r="79" spans="1:18" x14ac:dyDescent="0.2">
      <c r="A79" s="5">
        <v>43616</v>
      </c>
      <c r="B79" s="12">
        <v>27524</v>
      </c>
      <c r="C79" s="12">
        <v>1721</v>
      </c>
      <c r="D79" s="12">
        <v>29245</v>
      </c>
      <c r="F79" s="5">
        <v>44347</v>
      </c>
      <c r="G79" s="12">
        <v>19019</v>
      </c>
      <c r="H79" s="12">
        <v>1511</v>
      </c>
      <c r="I79" s="12">
        <v>20530</v>
      </c>
      <c r="K79" s="5">
        <v>43619</v>
      </c>
      <c r="L79" s="5">
        <v>44347</v>
      </c>
      <c r="M79" s="12">
        <f t="shared" ref="M79:O79" si="2">G79-B82</f>
        <v>-6046</v>
      </c>
      <c r="N79" s="12">
        <f t="shared" si="2"/>
        <v>36</v>
      </c>
      <c r="O79" s="12">
        <f t="shared" si="2"/>
        <v>-6010</v>
      </c>
      <c r="P79" s="9">
        <f t="shared" ref="P79:R79" si="3">G79/B82-1</f>
        <v>-0.24121284659884301</v>
      </c>
      <c r="Q79" s="9">
        <f t="shared" si="3"/>
        <v>2.4406779661017008E-2</v>
      </c>
      <c r="R79" s="13">
        <f t="shared" si="3"/>
        <v>-0.22645064054257724</v>
      </c>
    </row>
    <row r="80" spans="1:18" x14ac:dyDescent="0.2">
      <c r="A80" s="5">
        <v>43617</v>
      </c>
      <c r="B80" s="12">
        <v>23740</v>
      </c>
      <c r="C80" s="12">
        <v>703</v>
      </c>
      <c r="D80" s="12">
        <v>24443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">
      <c r="A81" s="5">
        <v>43618</v>
      </c>
      <c r="B81" s="12">
        <v>20318</v>
      </c>
      <c r="C81" s="12">
        <v>200</v>
      </c>
      <c r="D81" s="12">
        <v>20518</v>
      </c>
      <c r="F81" s="5"/>
      <c r="G81" s="12"/>
      <c r="H81" s="12"/>
      <c r="I81" s="12"/>
      <c r="K81" s="5"/>
      <c r="L81" s="5"/>
      <c r="M81" s="12"/>
      <c r="N81" s="12"/>
      <c r="O81" s="12"/>
      <c r="P81" s="9"/>
      <c r="Q81" s="9"/>
      <c r="R81" s="13"/>
    </row>
    <row r="82" spans="1:18" x14ac:dyDescent="0.2">
      <c r="A82" s="5">
        <v>43619</v>
      </c>
      <c r="B82" s="12">
        <v>25065</v>
      </c>
      <c r="C82" s="12">
        <v>1475</v>
      </c>
      <c r="D82" s="12">
        <v>26540</v>
      </c>
      <c r="F82" s="5"/>
      <c r="G82" s="12"/>
      <c r="H82" s="12"/>
      <c r="I82" s="12"/>
      <c r="K82" s="5"/>
      <c r="L82" s="5"/>
      <c r="M82" s="12"/>
      <c r="N82" s="12"/>
      <c r="O82" s="12"/>
      <c r="P82" s="9"/>
      <c r="Q82" s="9"/>
      <c r="R82" s="13"/>
    </row>
    <row r="83" spans="1:18" x14ac:dyDescent="0.2">
      <c r="A83" s="5"/>
      <c r="B83" s="2"/>
      <c r="C83" s="2"/>
      <c r="D83" s="2"/>
      <c r="F83" s="5"/>
      <c r="G83" s="2"/>
      <c r="H83" s="2"/>
      <c r="I83" s="2"/>
      <c r="L83" s="5"/>
      <c r="M83" s="2"/>
      <c r="N83" s="2"/>
      <c r="O83" s="2"/>
      <c r="P83" s="2"/>
      <c r="Q83" s="2"/>
      <c r="R83" s="14"/>
    </row>
    <row r="84" spans="1:18" x14ac:dyDescent="0.2">
      <c r="B84" s="2"/>
      <c r="C84" s="2"/>
      <c r="G84" s="2"/>
      <c r="H84" s="2"/>
    </row>
    <row r="85" spans="1:18" ht="12.95" customHeight="1" x14ac:dyDescent="0.2">
      <c r="A85" s="26" t="s">
        <v>18</v>
      </c>
      <c r="B85" s="6"/>
      <c r="C85" s="6"/>
      <c r="D85" s="3"/>
      <c r="F85" s="26" t="s">
        <v>18</v>
      </c>
      <c r="G85" s="6"/>
      <c r="H85" s="6"/>
      <c r="I85" s="3"/>
      <c r="K85" s="26" t="s">
        <v>19</v>
      </c>
      <c r="L85" s="26"/>
      <c r="M85" s="6"/>
      <c r="N85" s="6"/>
      <c r="O85" s="3"/>
      <c r="P85" s="6"/>
      <c r="Q85" s="6"/>
      <c r="R85" s="3"/>
    </row>
    <row r="86" spans="1:18" ht="25.35" customHeight="1" x14ac:dyDescent="0.2">
      <c r="A86" s="27"/>
      <c r="B86" s="8" t="s">
        <v>38</v>
      </c>
      <c r="C86" s="4" t="s">
        <v>2</v>
      </c>
      <c r="D86" s="4" t="s">
        <v>0</v>
      </c>
      <c r="F86" s="27"/>
      <c r="G86" s="8" t="s">
        <v>38</v>
      </c>
      <c r="H86" s="4" t="s">
        <v>2</v>
      </c>
      <c r="I86" s="4" t="s">
        <v>0</v>
      </c>
      <c r="K86" s="27"/>
      <c r="L86" s="27"/>
      <c r="M86" s="8" t="s">
        <v>38</v>
      </c>
      <c r="N86" s="4" t="s">
        <v>2</v>
      </c>
      <c r="O86" s="4" t="s">
        <v>0</v>
      </c>
      <c r="P86" s="8" t="s">
        <v>38</v>
      </c>
      <c r="Q86" s="4" t="s">
        <v>2</v>
      </c>
      <c r="R86" s="4" t="s">
        <v>0</v>
      </c>
    </row>
    <row r="87" spans="1:18" x14ac:dyDescent="0.2">
      <c r="A87" s="5">
        <v>43586</v>
      </c>
      <c r="B87" s="12">
        <v>18875</v>
      </c>
      <c r="C87" s="12">
        <v>152</v>
      </c>
      <c r="D87" s="12">
        <v>19027</v>
      </c>
      <c r="F87" s="5">
        <v>44317</v>
      </c>
      <c r="G87" s="12">
        <v>7315</v>
      </c>
      <c r="H87" s="12">
        <v>136</v>
      </c>
      <c r="I87" s="12">
        <v>7451</v>
      </c>
      <c r="K87" s="5">
        <v>43589</v>
      </c>
      <c r="L87" s="5">
        <v>44317</v>
      </c>
      <c r="M87" s="12">
        <v>-20224</v>
      </c>
      <c r="N87" s="12">
        <v>-785</v>
      </c>
      <c r="O87" s="12">
        <v>-21009</v>
      </c>
      <c r="P87" s="9">
        <v>-0.73437670213152262</v>
      </c>
      <c r="Q87" s="9">
        <v>-0.85233441910966334</v>
      </c>
      <c r="R87" s="13">
        <v>-0.73819395643007724</v>
      </c>
    </row>
    <row r="88" spans="1:18" x14ac:dyDescent="0.2">
      <c r="A88" s="5">
        <v>43587</v>
      </c>
      <c r="B88" s="12">
        <v>25504</v>
      </c>
      <c r="C88" s="12">
        <v>1881</v>
      </c>
      <c r="D88" s="12">
        <v>27385</v>
      </c>
      <c r="F88" s="5">
        <v>44318</v>
      </c>
      <c r="G88" s="12">
        <v>9759</v>
      </c>
      <c r="H88" s="12">
        <v>52</v>
      </c>
      <c r="I88" s="12">
        <v>9811</v>
      </c>
      <c r="K88" s="5">
        <v>43590</v>
      </c>
      <c r="L88" s="5">
        <v>44318</v>
      </c>
      <c r="M88" s="12">
        <v>-15443</v>
      </c>
      <c r="N88" s="12">
        <v>-194</v>
      </c>
      <c r="O88" s="12">
        <v>-15637</v>
      </c>
      <c r="P88" s="9">
        <v>-0.61276882787080389</v>
      </c>
      <c r="Q88" s="9">
        <v>-0.78861788617886175</v>
      </c>
      <c r="R88" s="13">
        <v>-0.61446872052813584</v>
      </c>
    </row>
    <row r="89" spans="1:18" x14ac:dyDescent="0.2">
      <c r="A89" s="5">
        <v>43588</v>
      </c>
      <c r="B89" s="12">
        <v>28248</v>
      </c>
      <c r="C89" s="12">
        <v>1609</v>
      </c>
      <c r="D89" s="12">
        <v>29857</v>
      </c>
      <c r="F89" s="5">
        <v>44319</v>
      </c>
      <c r="G89" s="12">
        <v>17506</v>
      </c>
      <c r="H89" s="12">
        <v>1992</v>
      </c>
      <c r="I89" s="12">
        <v>19498</v>
      </c>
      <c r="K89" s="5">
        <v>43591</v>
      </c>
      <c r="L89" s="5">
        <v>44319</v>
      </c>
      <c r="M89" s="12">
        <v>-8065</v>
      </c>
      <c r="N89" s="12">
        <v>192</v>
      </c>
      <c r="O89" s="12">
        <v>-7873</v>
      </c>
      <c r="P89" s="9">
        <v>-0.31539634742481715</v>
      </c>
      <c r="Q89" s="9">
        <v>0.10666666666666669</v>
      </c>
      <c r="R89" s="13">
        <v>-0.28764020313470462</v>
      </c>
    </row>
    <row r="90" spans="1:18" x14ac:dyDescent="0.2">
      <c r="A90" s="5">
        <v>43589</v>
      </c>
      <c r="B90" s="12">
        <v>27539</v>
      </c>
      <c r="C90" s="12">
        <v>921</v>
      </c>
      <c r="D90" s="12">
        <v>28460</v>
      </c>
      <c r="F90" s="5">
        <v>44320</v>
      </c>
      <c r="G90" s="12">
        <v>17086</v>
      </c>
      <c r="H90" s="12">
        <v>1816</v>
      </c>
      <c r="I90" s="12">
        <v>18902</v>
      </c>
      <c r="K90" s="5">
        <v>43592</v>
      </c>
      <c r="L90" s="5">
        <v>44320</v>
      </c>
      <c r="M90" s="12">
        <v>-6797</v>
      </c>
      <c r="N90" s="12">
        <v>-139</v>
      </c>
      <c r="O90" s="12">
        <v>-6936</v>
      </c>
      <c r="P90" s="9">
        <v>-0.28459573755390866</v>
      </c>
      <c r="Q90" s="9">
        <v>-7.1099744245524343E-2</v>
      </c>
      <c r="R90" s="13">
        <v>-0.26844182986299248</v>
      </c>
    </row>
    <row r="91" spans="1:18" x14ac:dyDescent="0.2">
      <c r="A91" s="5">
        <v>43590</v>
      </c>
      <c r="B91" s="12">
        <v>25202</v>
      </c>
      <c r="C91" s="12">
        <v>246</v>
      </c>
      <c r="D91" s="12">
        <v>25448</v>
      </c>
      <c r="F91" s="5">
        <v>44321</v>
      </c>
      <c r="G91" s="12">
        <v>17377</v>
      </c>
      <c r="H91" s="12">
        <v>1803</v>
      </c>
      <c r="I91" s="12">
        <v>19180</v>
      </c>
      <c r="K91" s="5">
        <v>43593</v>
      </c>
      <c r="L91" s="5">
        <v>44321</v>
      </c>
      <c r="M91" s="12">
        <v>-6873</v>
      </c>
      <c r="N91" s="12">
        <v>-157</v>
      </c>
      <c r="O91" s="12">
        <v>-7030</v>
      </c>
      <c r="P91" s="9">
        <v>-0.28342268041237118</v>
      </c>
      <c r="Q91" s="9">
        <v>-8.0102040816326547E-2</v>
      </c>
      <c r="R91" s="13">
        <v>-0.26821823731400229</v>
      </c>
    </row>
    <row r="92" spans="1:18" x14ac:dyDescent="0.2">
      <c r="A92" s="5">
        <v>43591</v>
      </c>
      <c r="B92" s="12">
        <v>25571</v>
      </c>
      <c r="C92" s="12">
        <v>1800</v>
      </c>
      <c r="D92" s="12">
        <v>27371</v>
      </c>
      <c r="F92" s="5">
        <v>44322</v>
      </c>
      <c r="G92" s="12">
        <v>17313</v>
      </c>
      <c r="H92" s="12">
        <v>1630</v>
      </c>
      <c r="I92" s="12">
        <v>18943</v>
      </c>
      <c r="K92" s="5">
        <v>43594</v>
      </c>
      <c r="L92" s="5">
        <v>44322</v>
      </c>
      <c r="M92" s="12">
        <v>-7042</v>
      </c>
      <c r="N92" s="12">
        <v>-196</v>
      </c>
      <c r="O92" s="12">
        <v>-7238</v>
      </c>
      <c r="P92" s="9">
        <v>-0.2891398070211455</v>
      </c>
      <c r="Q92" s="9">
        <v>-0.10733844468784226</v>
      </c>
      <c r="R92" s="13">
        <v>-0.27646002826477212</v>
      </c>
    </row>
    <row r="93" spans="1:18" x14ac:dyDescent="0.2">
      <c r="A93" s="5">
        <v>43592</v>
      </c>
      <c r="B93" s="12">
        <v>23883</v>
      </c>
      <c r="C93" s="12">
        <v>1955</v>
      </c>
      <c r="D93" s="12">
        <v>25838</v>
      </c>
      <c r="F93" s="5">
        <v>44323</v>
      </c>
      <c r="G93" s="12">
        <v>17370</v>
      </c>
      <c r="H93" s="12">
        <v>1455</v>
      </c>
      <c r="I93" s="12">
        <v>18825</v>
      </c>
      <c r="K93" s="5">
        <v>43595</v>
      </c>
      <c r="L93" s="5">
        <v>44323</v>
      </c>
      <c r="M93" s="12">
        <v>-7797</v>
      </c>
      <c r="N93" s="12">
        <v>-70</v>
      </c>
      <c r="O93" s="12">
        <v>-7867</v>
      </c>
      <c r="P93" s="9">
        <v>-0.30981046608654195</v>
      </c>
      <c r="Q93" s="9">
        <v>-4.5901639344262279E-2</v>
      </c>
      <c r="R93" s="13">
        <v>-0.29473250412108498</v>
      </c>
    </row>
    <row r="94" spans="1:18" x14ac:dyDescent="0.2">
      <c r="A94" s="5">
        <v>43593</v>
      </c>
      <c r="B94" s="12">
        <v>24250</v>
      </c>
      <c r="C94" s="12">
        <v>1960</v>
      </c>
      <c r="D94" s="12">
        <v>26210</v>
      </c>
      <c r="F94" s="5">
        <v>44324</v>
      </c>
      <c r="G94" s="12">
        <v>11098</v>
      </c>
      <c r="H94" s="12">
        <v>708</v>
      </c>
      <c r="I94" s="12">
        <v>11806</v>
      </c>
      <c r="K94" s="5">
        <v>43596</v>
      </c>
      <c r="L94" s="5">
        <v>44324</v>
      </c>
      <c r="M94" s="12">
        <v>-10765</v>
      </c>
      <c r="N94" s="12">
        <v>-165</v>
      </c>
      <c r="O94" s="12">
        <v>-10930</v>
      </c>
      <c r="P94" s="9">
        <v>-0.49238439372455745</v>
      </c>
      <c r="Q94" s="9">
        <v>-0.18900343642611683</v>
      </c>
      <c r="R94" s="13">
        <v>-0.48073539760731876</v>
      </c>
    </row>
    <row r="95" spans="1:18" x14ac:dyDescent="0.2">
      <c r="A95" s="5">
        <v>43594</v>
      </c>
      <c r="B95" s="12">
        <v>24355</v>
      </c>
      <c r="C95" s="12">
        <v>1826</v>
      </c>
      <c r="D95" s="12">
        <v>26181</v>
      </c>
      <c r="F95" s="5">
        <v>44325</v>
      </c>
      <c r="G95" s="12">
        <v>10678</v>
      </c>
      <c r="H95" s="12">
        <v>109</v>
      </c>
      <c r="I95" s="12">
        <v>10787</v>
      </c>
      <c r="K95" s="5">
        <v>43597</v>
      </c>
      <c r="L95" s="5">
        <v>44325</v>
      </c>
      <c r="M95" s="12">
        <v>-13298</v>
      </c>
      <c r="N95" s="12">
        <v>-132</v>
      </c>
      <c r="O95" s="12">
        <v>-13430</v>
      </c>
      <c r="P95" s="9">
        <v>-0.55463797130463799</v>
      </c>
      <c r="Q95" s="9">
        <v>-0.5477178423236515</v>
      </c>
      <c r="R95" s="13">
        <v>-0.55456910434818518</v>
      </c>
    </row>
    <row r="96" spans="1:18" x14ac:dyDescent="0.2">
      <c r="A96" s="5">
        <v>43595</v>
      </c>
      <c r="B96" s="12">
        <v>25167</v>
      </c>
      <c r="C96" s="12">
        <v>1525</v>
      </c>
      <c r="D96" s="12">
        <v>26692</v>
      </c>
      <c r="F96" s="5">
        <v>44326</v>
      </c>
      <c r="G96" s="12">
        <v>17269</v>
      </c>
      <c r="H96" s="12">
        <v>1829</v>
      </c>
      <c r="I96" s="12">
        <v>19098</v>
      </c>
      <c r="K96" s="5">
        <v>43598</v>
      </c>
      <c r="L96" s="5">
        <v>44326</v>
      </c>
      <c r="M96" s="12">
        <v>-7739</v>
      </c>
      <c r="N96" s="12">
        <v>72</v>
      </c>
      <c r="O96" s="12">
        <v>-7667</v>
      </c>
      <c r="P96" s="9">
        <v>-0.30946097248880355</v>
      </c>
      <c r="Q96" s="9">
        <v>4.0978941377347811E-2</v>
      </c>
      <c r="R96" s="13">
        <v>-0.28645619278909018</v>
      </c>
    </row>
    <row r="97" spans="1:18" x14ac:dyDescent="0.2">
      <c r="A97" s="5">
        <v>43596</v>
      </c>
      <c r="B97" s="12">
        <v>21863</v>
      </c>
      <c r="C97" s="12">
        <v>873</v>
      </c>
      <c r="D97" s="12">
        <v>22736</v>
      </c>
      <c r="F97" s="5">
        <v>44327</v>
      </c>
      <c r="G97" s="12">
        <v>16440</v>
      </c>
      <c r="H97" s="12">
        <v>1777</v>
      </c>
      <c r="I97" s="12">
        <v>18217</v>
      </c>
      <c r="K97" s="5">
        <v>43599</v>
      </c>
      <c r="L97" s="5">
        <v>44327</v>
      </c>
      <c r="M97" s="12">
        <v>-7625</v>
      </c>
      <c r="N97" s="12">
        <v>-231</v>
      </c>
      <c r="O97" s="12">
        <v>-7856</v>
      </c>
      <c r="P97" s="9">
        <v>-0.31685019738209019</v>
      </c>
      <c r="Q97" s="9">
        <v>-0.11503984063745021</v>
      </c>
      <c r="R97" s="13">
        <v>-0.30130786637517737</v>
      </c>
    </row>
    <row r="98" spans="1:18" x14ac:dyDescent="0.2">
      <c r="A98" s="5">
        <v>43597</v>
      </c>
      <c r="B98" s="12">
        <v>23976</v>
      </c>
      <c r="C98" s="12">
        <v>241</v>
      </c>
      <c r="D98" s="12">
        <v>24217</v>
      </c>
      <c r="F98" s="5">
        <v>44328</v>
      </c>
      <c r="G98" s="12">
        <v>17649</v>
      </c>
      <c r="H98" s="12">
        <v>1466</v>
      </c>
      <c r="I98" s="12">
        <v>19115</v>
      </c>
      <c r="K98" s="5">
        <v>43600</v>
      </c>
      <c r="L98" s="5">
        <v>44328</v>
      </c>
      <c r="M98" s="12">
        <v>-6787</v>
      </c>
      <c r="N98" s="12">
        <v>-524</v>
      </c>
      <c r="O98" s="12">
        <v>-7311</v>
      </c>
      <c r="P98" s="9">
        <v>-0.27774594860042556</v>
      </c>
      <c r="Q98" s="9">
        <v>-0.26331658291457283</v>
      </c>
      <c r="R98" s="13">
        <v>-0.27665935063952163</v>
      </c>
    </row>
    <row r="99" spans="1:18" x14ac:dyDescent="0.2">
      <c r="A99" s="5">
        <v>43598</v>
      </c>
      <c r="B99" s="12">
        <v>25008</v>
      </c>
      <c r="C99" s="12">
        <v>1757</v>
      </c>
      <c r="D99" s="12">
        <v>26765</v>
      </c>
      <c r="F99" s="5">
        <v>44329</v>
      </c>
      <c r="G99" s="12">
        <v>9431</v>
      </c>
      <c r="H99" s="12">
        <v>52</v>
      </c>
      <c r="I99" s="12">
        <v>9483</v>
      </c>
      <c r="K99" s="5">
        <v>43601</v>
      </c>
      <c r="L99" s="5">
        <v>44329</v>
      </c>
      <c r="M99" s="12">
        <v>-14863</v>
      </c>
      <c r="N99" s="12">
        <v>-1689</v>
      </c>
      <c r="O99" s="12">
        <v>-16552</v>
      </c>
      <c r="P99" s="9">
        <v>-0.61179715156005599</v>
      </c>
      <c r="Q99" s="9">
        <v>-0.97013210798391725</v>
      </c>
      <c r="R99" s="13">
        <v>-0.63575955444593824</v>
      </c>
    </row>
    <row r="100" spans="1:18" x14ac:dyDescent="0.2">
      <c r="A100" s="5">
        <v>43599</v>
      </c>
      <c r="B100" s="12">
        <v>24065</v>
      </c>
      <c r="C100" s="12">
        <v>2008</v>
      </c>
      <c r="D100" s="12">
        <v>26073</v>
      </c>
      <c r="F100" s="5">
        <v>44330</v>
      </c>
      <c r="G100" s="12">
        <v>15601</v>
      </c>
      <c r="H100" s="12">
        <v>1761</v>
      </c>
      <c r="I100" s="12">
        <v>17362</v>
      </c>
      <c r="K100" s="5">
        <v>43602</v>
      </c>
      <c r="L100" s="5">
        <v>44330</v>
      </c>
      <c r="M100" s="12">
        <v>-10270</v>
      </c>
      <c r="N100" s="12">
        <v>138</v>
      </c>
      <c r="O100" s="12">
        <v>-10132</v>
      </c>
      <c r="P100" s="9">
        <v>-0.39696957983842918</v>
      </c>
      <c r="Q100" s="9">
        <v>8.5027726432532313E-2</v>
      </c>
      <c r="R100" s="13">
        <v>-0.36851676729468252</v>
      </c>
    </row>
    <row r="101" spans="1:18" x14ac:dyDescent="0.2">
      <c r="A101" s="5">
        <v>43600</v>
      </c>
      <c r="B101" s="12">
        <v>24436</v>
      </c>
      <c r="C101" s="12">
        <v>1990</v>
      </c>
      <c r="D101" s="12">
        <v>26426</v>
      </c>
      <c r="F101" s="5">
        <v>44331</v>
      </c>
      <c r="G101" s="12">
        <v>12360</v>
      </c>
      <c r="H101" s="12">
        <v>659</v>
      </c>
      <c r="I101" s="12">
        <v>13019</v>
      </c>
      <c r="K101" s="5">
        <v>43603</v>
      </c>
      <c r="L101" s="5">
        <v>44331</v>
      </c>
      <c r="M101" s="12">
        <v>-10416</v>
      </c>
      <c r="N101" s="12">
        <v>-224</v>
      </c>
      <c r="O101" s="12">
        <v>-10640</v>
      </c>
      <c r="P101" s="9">
        <v>-0.4573234984193888</v>
      </c>
      <c r="Q101" s="9">
        <v>-0.25368063420158549</v>
      </c>
      <c r="R101" s="13">
        <v>-0.44972314975273675</v>
      </c>
    </row>
    <row r="102" spans="1:18" x14ac:dyDescent="0.2">
      <c r="A102" s="5">
        <v>43601</v>
      </c>
      <c r="B102" s="12">
        <v>24294</v>
      </c>
      <c r="C102" s="12">
        <v>1741</v>
      </c>
      <c r="D102" s="12">
        <v>26035</v>
      </c>
      <c r="F102" s="5">
        <v>44332</v>
      </c>
      <c r="G102" s="12">
        <v>17171</v>
      </c>
      <c r="H102" s="12">
        <v>93</v>
      </c>
      <c r="I102" s="12">
        <v>17264</v>
      </c>
      <c r="K102" s="5">
        <v>43604</v>
      </c>
      <c r="L102" s="5">
        <v>44332</v>
      </c>
      <c r="M102" s="12">
        <v>-6019</v>
      </c>
      <c r="N102" s="12">
        <v>-117</v>
      </c>
      <c r="O102" s="12">
        <v>-6136</v>
      </c>
      <c r="P102" s="9">
        <v>-0.25955153083225524</v>
      </c>
      <c r="Q102" s="9">
        <v>-0.55714285714285716</v>
      </c>
      <c r="R102" s="13">
        <v>-0.26222222222222225</v>
      </c>
    </row>
    <row r="103" spans="1:18" x14ac:dyDescent="0.2">
      <c r="A103" s="5">
        <v>43602</v>
      </c>
      <c r="B103" s="12">
        <v>25871</v>
      </c>
      <c r="C103" s="12">
        <v>1623</v>
      </c>
      <c r="D103" s="12">
        <v>27494</v>
      </c>
      <c r="F103" s="5">
        <v>44333</v>
      </c>
      <c r="G103" s="12">
        <v>19246</v>
      </c>
      <c r="H103" s="12">
        <v>1800</v>
      </c>
      <c r="I103" s="12">
        <v>21046</v>
      </c>
      <c r="K103" s="5">
        <v>43605</v>
      </c>
      <c r="L103" s="5">
        <v>44333</v>
      </c>
      <c r="M103" s="12">
        <v>-5988</v>
      </c>
      <c r="N103" s="12">
        <v>82</v>
      </c>
      <c r="O103" s="12">
        <v>-5906</v>
      </c>
      <c r="P103" s="9">
        <v>-0.23729888246017283</v>
      </c>
      <c r="Q103" s="9">
        <v>4.7729918509895164E-2</v>
      </c>
      <c r="R103" s="13">
        <v>-0.21913030572870285</v>
      </c>
    </row>
    <row r="104" spans="1:18" x14ac:dyDescent="0.2">
      <c r="A104" s="5">
        <v>43603</v>
      </c>
      <c r="B104" s="12">
        <v>22776</v>
      </c>
      <c r="C104" s="12">
        <v>883</v>
      </c>
      <c r="D104" s="12">
        <v>23659</v>
      </c>
      <c r="F104" s="5">
        <v>44334</v>
      </c>
      <c r="G104" s="12">
        <v>19154</v>
      </c>
      <c r="H104" s="12">
        <v>1800</v>
      </c>
      <c r="I104" s="12">
        <v>20954</v>
      </c>
      <c r="K104" s="5">
        <v>43606</v>
      </c>
      <c r="L104" s="5">
        <v>44334</v>
      </c>
      <c r="M104" s="12">
        <v>-4069</v>
      </c>
      <c r="N104" s="12">
        <v>-157</v>
      </c>
      <c r="O104" s="12">
        <v>-4226</v>
      </c>
      <c r="P104" s="9">
        <v>-0.17521422727468461</v>
      </c>
      <c r="Q104" s="9">
        <v>-8.0224833929483874E-2</v>
      </c>
      <c r="R104" s="13">
        <v>-0.16783161239078637</v>
      </c>
    </row>
    <row r="105" spans="1:18" x14ac:dyDescent="0.2">
      <c r="A105" s="5">
        <v>43604</v>
      </c>
      <c r="B105" s="12">
        <v>23190</v>
      </c>
      <c r="C105" s="12">
        <v>210</v>
      </c>
      <c r="D105" s="12">
        <v>23400</v>
      </c>
      <c r="F105" s="5">
        <v>44335</v>
      </c>
      <c r="G105" s="12">
        <v>20661</v>
      </c>
      <c r="H105" s="12">
        <v>1703</v>
      </c>
      <c r="I105" s="12">
        <v>22364</v>
      </c>
      <c r="K105" s="5">
        <v>43607</v>
      </c>
      <c r="L105" s="5">
        <v>44335</v>
      </c>
      <c r="M105" s="12">
        <v>-3264</v>
      </c>
      <c r="N105" s="12">
        <v>-280</v>
      </c>
      <c r="O105" s="12">
        <v>-3544</v>
      </c>
      <c r="P105" s="9">
        <v>-0.13642633228840129</v>
      </c>
      <c r="Q105" s="9">
        <v>-0.14120020171457393</v>
      </c>
      <c r="R105" s="13">
        <v>-0.13679172456384125</v>
      </c>
    </row>
    <row r="106" spans="1:18" x14ac:dyDescent="0.2">
      <c r="A106" s="5">
        <v>43605</v>
      </c>
      <c r="B106" s="12">
        <v>25234</v>
      </c>
      <c r="C106" s="12">
        <v>1718</v>
      </c>
      <c r="D106" s="12">
        <v>26952</v>
      </c>
      <c r="F106" s="5">
        <v>44336</v>
      </c>
      <c r="G106" s="12">
        <v>18233</v>
      </c>
      <c r="H106" s="12">
        <v>1665</v>
      </c>
      <c r="I106" s="12">
        <v>19898</v>
      </c>
      <c r="K106" s="5">
        <v>43608</v>
      </c>
      <c r="L106" s="5">
        <v>44336</v>
      </c>
      <c r="M106" s="12">
        <v>-6320</v>
      </c>
      <c r="N106" s="12">
        <v>-169</v>
      </c>
      <c r="O106" s="12">
        <v>-6489</v>
      </c>
      <c r="P106" s="9">
        <v>-0.25740235409114975</v>
      </c>
      <c r="Q106" s="9">
        <v>-9.2148309705561648E-2</v>
      </c>
      <c r="R106" s="13">
        <v>-0.24591654981619737</v>
      </c>
    </row>
    <row r="107" spans="1:18" x14ac:dyDescent="0.2">
      <c r="A107" s="5">
        <v>43606</v>
      </c>
      <c r="B107" s="12">
        <v>23223</v>
      </c>
      <c r="C107" s="12">
        <v>1957</v>
      </c>
      <c r="D107" s="12">
        <v>25180</v>
      </c>
      <c r="F107" s="5">
        <v>44337</v>
      </c>
      <c r="G107" s="12">
        <v>18348</v>
      </c>
      <c r="H107" s="12">
        <v>1451</v>
      </c>
      <c r="I107" s="12">
        <v>19799</v>
      </c>
      <c r="K107" s="5">
        <v>43609</v>
      </c>
      <c r="L107" s="5">
        <v>44337</v>
      </c>
      <c r="M107" s="12">
        <v>-7699</v>
      </c>
      <c r="N107" s="12">
        <v>-194</v>
      </c>
      <c r="O107" s="12">
        <v>-7893</v>
      </c>
      <c r="P107" s="9">
        <v>-0.29558106499788839</v>
      </c>
      <c r="Q107" s="9">
        <v>-0.11793313069908817</v>
      </c>
      <c r="R107" s="13">
        <v>-0.28502816697963307</v>
      </c>
    </row>
    <row r="108" spans="1:18" x14ac:dyDescent="0.2">
      <c r="A108" s="5">
        <v>43607</v>
      </c>
      <c r="B108" s="12">
        <v>23925</v>
      </c>
      <c r="C108" s="12">
        <v>1983</v>
      </c>
      <c r="D108" s="12">
        <v>25908</v>
      </c>
      <c r="F108" s="5">
        <v>44338</v>
      </c>
      <c r="G108" s="12">
        <v>12211</v>
      </c>
      <c r="H108" s="12">
        <v>658</v>
      </c>
      <c r="I108" s="12">
        <v>12869</v>
      </c>
      <c r="K108" s="5">
        <v>43610</v>
      </c>
      <c r="L108" s="5">
        <v>44338</v>
      </c>
      <c r="M108" s="12">
        <v>-9939</v>
      </c>
      <c r="N108" s="12">
        <v>-126</v>
      </c>
      <c r="O108" s="12">
        <v>-10065</v>
      </c>
      <c r="P108" s="9">
        <v>-0.4487133182844244</v>
      </c>
      <c r="Q108" s="9">
        <v>-0.1607142857142857</v>
      </c>
      <c r="R108" s="13">
        <v>-0.43886805616115809</v>
      </c>
    </row>
    <row r="109" spans="1:18" x14ac:dyDescent="0.2">
      <c r="A109" s="5">
        <v>43608</v>
      </c>
      <c r="B109" s="12">
        <v>24553</v>
      </c>
      <c r="C109" s="12">
        <v>1834</v>
      </c>
      <c r="D109" s="12">
        <v>26387</v>
      </c>
      <c r="F109" s="5">
        <v>44339</v>
      </c>
      <c r="G109" s="12">
        <v>12868</v>
      </c>
      <c r="H109" s="12">
        <v>112</v>
      </c>
      <c r="I109" s="12">
        <v>12980</v>
      </c>
      <c r="K109" s="5">
        <v>43611</v>
      </c>
      <c r="L109" s="5">
        <v>44339</v>
      </c>
      <c r="M109" s="12">
        <v>-11213</v>
      </c>
      <c r="N109" s="12">
        <v>-124</v>
      </c>
      <c r="O109" s="12">
        <v>-11337</v>
      </c>
      <c r="P109" s="9">
        <v>-0.46563680910261207</v>
      </c>
      <c r="Q109" s="9">
        <v>-0.52542372881355925</v>
      </c>
      <c r="R109" s="13">
        <v>-0.46621704980055101</v>
      </c>
    </row>
    <row r="110" spans="1:18" x14ac:dyDescent="0.2">
      <c r="A110" s="5">
        <v>43609</v>
      </c>
      <c r="B110" s="12">
        <v>26047</v>
      </c>
      <c r="C110" s="12">
        <v>1645</v>
      </c>
      <c r="D110" s="12">
        <v>27692</v>
      </c>
      <c r="F110" s="5">
        <v>44340</v>
      </c>
      <c r="G110" s="12">
        <v>20288</v>
      </c>
      <c r="H110" s="12">
        <v>106</v>
      </c>
      <c r="I110" s="12">
        <v>20394</v>
      </c>
      <c r="K110" s="5">
        <v>43612</v>
      </c>
      <c r="L110" s="5">
        <v>44340</v>
      </c>
      <c r="M110" s="12">
        <v>-6053</v>
      </c>
      <c r="N110" s="12">
        <v>-1684</v>
      </c>
      <c r="O110" s="12">
        <v>-7737</v>
      </c>
      <c r="P110" s="9">
        <v>-0.22979385748452985</v>
      </c>
      <c r="Q110" s="9">
        <v>-0.94078212290502794</v>
      </c>
      <c r="R110" s="13">
        <v>-0.27503465927268844</v>
      </c>
    </row>
    <row r="111" spans="1:18" x14ac:dyDescent="0.2">
      <c r="A111" s="5">
        <v>43610</v>
      </c>
      <c r="B111" s="12">
        <v>22150</v>
      </c>
      <c r="C111" s="12">
        <v>784</v>
      </c>
      <c r="D111" s="12">
        <v>22934</v>
      </c>
      <c r="F111" s="5">
        <v>44341</v>
      </c>
      <c r="G111" s="12">
        <v>19677</v>
      </c>
      <c r="H111" s="12">
        <v>2353</v>
      </c>
      <c r="I111" s="12">
        <v>22030</v>
      </c>
      <c r="K111" s="5">
        <v>43613</v>
      </c>
      <c r="L111" s="5">
        <v>44341</v>
      </c>
      <c r="M111" s="12">
        <v>-4684</v>
      </c>
      <c r="N111" s="12">
        <v>326</v>
      </c>
      <c r="O111" s="12">
        <v>-4358</v>
      </c>
      <c r="P111" s="9">
        <v>-0.19227453717006693</v>
      </c>
      <c r="Q111" s="9">
        <v>0.16082881105081404</v>
      </c>
      <c r="R111" s="13">
        <v>-0.16515082613309084</v>
      </c>
    </row>
    <row r="112" spans="1:18" x14ac:dyDescent="0.2">
      <c r="A112" s="5">
        <v>43611</v>
      </c>
      <c r="B112" s="12">
        <v>24081</v>
      </c>
      <c r="C112" s="12">
        <v>236</v>
      </c>
      <c r="D112" s="12">
        <v>24317</v>
      </c>
      <c r="F112" s="5">
        <v>44342</v>
      </c>
      <c r="G112" s="12">
        <v>19018</v>
      </c>
      <c r="H112" s="12">
        <v>1652</v>
      </c>
      <c r="I112" s="12">
        <v>20670</v>
      </c>
      <c r="K112" s="5">
        <v>43614</v>
      </c>
      <c r="L112" s="5">
        <v>44342</v>
      </c>
      <c r="M112" s="12">
        <v>-5758</v>
      </c>
      <c r="N112" s="12">
        <v>30</v>
      </c>
      <c r="O112" s="12">
        <v>-5728</v>
      </c>
      <c r="P112" s="9">
        <v>-0.23240232483048107</v>
      </c>
      <c r="Q112" s="9">
        <v>1.8495684340320562E-2</v>
      </c>
      <c r="R112" s="13">
        <v>-0.21698613531328126</v>
      </c>
    </row>
    <row r="113" spans="1:18" x14ac:dyDescent="0.2">
      <c r="A113" s="5">
        <v>43612</v>
      </c>
      <c r="B113" s="12">
        <v>26341</v>
      </c>
      <c r="C113" s="12">
        <v>1790</v>
      </c>
      <c r="D113" s="12">
        <v>28131</v>
      </c>
      <c r="F113" s="5">
        <v>44343</v>
      </c>
      <c r="G113" s="12">
        <v>19496</v>
      </c>
      <c r="H113" s="12">
        <v>1704</v>
      </c>
      <c r="I113" s="12">
        <v>21200</v>
      </c>
      <c r="K113" s="5">
        <v>43615</v>
      </c>
      <c r="L113" s="5">
        <v>44343</v>
      </c>
      <c r="M113" s="12">
        <v>221</v>
      </c>
      <c r="N113" s="12">
        <v>1553</v>
      </c>
      <c r="O113" s="12">
        <v>1774</v>
      </c>
      <c r="P113" s="9">
        <v>1.1465629053177606E-2</v>
      </c>
      <c r="Q113" s="9">
        <v>10.284768211920531</v>
      </c>
      <c r="R113" s="13">
        <v>9.1320910120457066E-2</v>
      </c>
    </row>
    <row r="114" spans="1:18" x14ac:dyDescent="0.2">
      <c r="A114" s="5">
        <v>43613</v>
      </c>
      <c r="B114" s="12">
        <v>24361</v>
      </c>
      <c r="C114" s="12">
        <v>2027</v>
      </c>
      <c r="D114" s="12">
        <v>26388</v>
      </c>
      <c r="F114" s="5">
        <v>44344</v>
      </c>
      <c r="G114" s="12">
        <v>19846</v>
      </c>
      <c r="H114" s="12">
        <v>1604</v>
      </c>
      <c r="I114" s="12">
        <v>21450</v>
      </c>
      <c r="K114" s="5">
        <v>43616</v>
      </c>
      <c r="L114" s="5">
        <v>44344</v>
      </c>
      <c r="M114" s="12">
        <v>-5382</v>
      </c>
      <c r="N114" s="12">
        <v>-310</v>
      </c>
      <c r="O114" s="12">
        <v>-5692</v>
      </c>
      <c r="P114" s="9">
        <v>-0.21333439035991753</v>
      </c>
      <c r="Q114" s="9">
        <v>-0.16196447230929989</v>
      </c>
      <c r="R114" s="13">
        <v>-0.20971188563849386</v>
      </c>
    </row>
    <row r="115" spans="1:18" x14ac:dyDescent="0.2">
      <c r="A115" s="5">
        <v>43614</v>
      </c>
      <c r="B115" s="12">
        <v>24776</v>
      </c>
      <c r="C115" s="12">
        <v>1622</v>
      </c>
      <c r="D115" s="12">
        <v>26398</v>
      </c>
      <c r="F115" s="5">
        <v>44345</v>
      </c>
      <c r="G115" s="12">
        <v>16602</v>
      </c>
      <c r="H115" s="12">
        <v>793</v>
      </c>
      <c r="I115" s="12">
        <v>17395</v>
      </c>
      <c r="K115" s="5">
        <v>43617</v>
      </c>
      <c r="L115" s="5">
        <v>44345</v>
      </c>
      <c r="M115" s="12">
        <v>-11072</v>
      </c>
      <c r="N115" s="12">
        <v>-28</v>
      </c>
      <c r="O115" s="12">
        <v>-11100</v>
      </c>
      <c r="P115" s="9">
        <v>-0.4000867240008672</v>
      </c>
      <c r="Q115" s="9">
        <v>-3.4104750304506659E-2</v>
      </c>
      <c r="R115" s="13">
        <v>-0.38954202491665202</v>
      </c>
    </row>
    <row r="116" spans="1:18" x14ac:dyDescent="0.2">
      <c r="A116" s="5">
        <v>43615</v>
      </c>
      <c r="B116" s="12">
        <v>19275</v>
      </c>
      <c r="C116" s="12">
        <v>151</v>
      </c>
      <c r="D116" s="12">
        <v>19426</v>
      </c>
      <c r="F116" s="5">
        <v>44346</v>
      </c>
      <c r="G116" s="12">
        <v>16168</v>
      </c>
      <c r="H116" s="12">
        <v>102</v>
      </c>
      <c r="I116" s="12">
        <v>16270</v>
      </c>
      <c r="K116" s="5">
        <v>43618</v>
      </c>
      <c r="L116" s="5">
        <v>44346</v>
      </c>
      <c r="M116" s="12">
        <v>-16285</v>
      </c>
      <c r="N116" s="12">
        <v>-206</v>
      </c>
      <c r="O116" s="12">
        <v>-16491</v>
      </c>
      <c r="P116" s="9">
        <v>-0.50180260684682465</v>
      </c>
      <c r="Q116" s="9">
        <v>-0.66883116883116878</v>
      </c>
      <c r="R116" s="13">
        <v>-0.50337291291474617</v>
      </c>
    </row>
    <row r="117" spans="1:18" x14ac:dyDescent="0.2">
      <c r="A117" s="5">
        <v>43616</v>
      </c>
      <c r="B117" s="12">
        <v>25228</v>
      </c>
      <c r="C117" s="12">
        <v>1914</v>
      </c>
      <c r="D117" s="12">
        <v>27142</v>
      </c>
      <c r="F117" s="5">
        <v>44347</v>
      </c>
      <c r="G117" s="12">
        <v>19857</v>
      </c>
      <c r="H117" s="12">
        <v>1805</v>
      </c>
      <c r="I117" s="12">
        <v>21662</v>
      </c>
      <c r="K117" s="5">
        <v>43619</v>
      </c>
      <c r="L117" s="5">
        <v>44347</v>
      </c>
      <c r="M117" s="12">
        <f t="shared" ref="M117:O117" si="4">G117-B120</f>
        <v>-9557</v>
      </c>
      <c r="N117" s="12">
        <f t="shared" si="4"/>
        <v>-97</v>
      </c>
      <c r="O117" s="12">
        <f t="shared" si="4"/>
        <v>-9654</v>
      </c>
      <c r="P117" s="9">
        <f t="shared" ref="P117:R117" si="5">G117/B120-1</f>
        <v>-0.32491330658869921</v>
      </c>
      <c r="Q117" s="9">
        <f t="shared" si="5"/>
        <v>-5.0998948475289185E-2</v>
      </c>
      <c r="R117" s="13">
        <f t="shared" si="5"/>
        <v>-0.30827691914676203</v>
      </c>
    </row>
    <row r="118" spans="1:18" x14ac:dyDescent="0.2">
      <c r="A118" s="5">
        <v>43617</v>
      </c>
      <c r="B118" s="12">
        <v>27674</v>
      </c>
      <c r="C118" s="12">
        <v>821</v>
      </c>
      <c r="D118" s="12">
        <v>28495</v>
      </c>
      <c r="F118" s="5"/>
      <c r="G118" s="12"/>
      <c r="H118" s="12"/>
      <c r="I118" s="12"/>
      <c r="K118" s="5"/>
      <c r="L118" s="5"/>
      <c r="M118" s="12"/>
      <c r="N118" s="12"/>
      <c r="O118" s="12"/>
      <c r="P118" s="9"/>
      <c r="Q118" s="9"/>
      <c r="R118" s="13"/>
    </row>
    <row r="119" spans="1:18" x14ac:dyDescent="0.2">
      <c r="A119" s="5">
        <v>43618</v>
      </c>
      <c r="B119" s="12">
        <v>32453</v>
      </c>
      <c r="C119" s="12">
        <v>308</v>
      </c>
      <c r="D119" s="12">
        <v>32761</v>
      </c>
      <c r="F119" s="5"/>
      <c r="G119" s="12"/>
      <c r="H119" s="12"/>
      <c r="I119" s="12"/>
      <c r="K119" s="5"/>
      <c r="L119" s="5"/>
      <c r="M119" s="12"/>
      <c r="N119" s="12"/>
      <c r="O119" s="12"/>
      <c r="P119" s="9"/>
      <c r="Q119" s="9"/>
      <c r="R119" s="13"/>
    </row>
    <row r="120" spans="1:18" x14ac:dyDescent="0.2">
      <c r="A120" s="5">
        <v>43619</v>
      </c>
      <c r="B120" s="12">
        <v>29414</v>
      </c>
      <c r="C120" s="12">
        <v>1902</v>
      </c>
      <c r="D120" s="12">
        <v>31316</v>
      </c>
      <c r="F120" s="5"/>
      <c r="G120" s="12"/>
      <c r="H120" s="12"/>
      <c r="I120" s="12"/>
      <c r="K120" s="5"/>
      <c r="L120" s="5"/>
      <c r="M120" s="12"/>
      <c r="N120" s="12"/>
      <c r="O120" s="12"/>
      <c r="P120" s="9"/>
      <c r="Q120" s="9"/>
      <c r="R120" s="13"/>
    </row>
    <row r="121" spans="1:18" x14ac:dyDescent="0.2">
      <c r="A121" s="5"/>
      <c r="B121" s="12"/>
      <c r="C121" s="12"/>
      <c r="D121" s="12"/>
      <c r="F121" s="5"/>
      <c r="G121" s="12"/>
      <c r="H121" s="12"/>
      <c r="I121" s="12"/>
      <c r="K121" s="5"/>
      <c r="L121" s="5"/>
      <c r="M121" s="12"/>
      <c r="N121" s="12"/>
      <c r="O121" s="12"/>
      <c r="P121" s="9"/>
      <c r="Q121" s="9"/>
      <c r="R121" s="13"/>
    </row>
  </sheetData>
  <mergeCells count="11">
    <mergeCell ref="A85:A86"/>
    <mergeCell ref="F85:F86"/>
    <mergeCell ref="K85:L86"/>
    <mergeCell ref="A47:A48"/>
    <mergeCell ref="F47:F48"/>
    <mergeCell ref="K47:L48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5"/>
  <dimension ref="A1:R121"/>
  <sheetViews>
    <sheetView zoomScale="80" zoomScaleNormal="8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140625" customWidth="1"/>
    <col min="6" max="6" width="28.5703125" bestFit="1" customWidth="1"/>
    <col min="7" max="7" width="11.85546875" customWidth="1"/>
    <col min="8" max="8" width="7.42578125" bestFit="1" customWidth="1"/>
    <col min="9" max="9" width="15.85546875" bestFit="1" customWidth="1"/>
    <col min="10" max="10" width="0.85546875" customWidth="1"/>
    <col min="11" max="12" width="24.5703125" bestFit="1" customWidth="1"/>
    <col min="13" max="13" width="11.5703125" customWidth="1"/>
    <col min="14" max="14" width="6.28515625" bestFit="1" customWidth="1"/>
    <col min="15" max="15" width="15.85546875" bestFit="1" customWidth="1"/>
    <col min="16" max="16" width="11.5703125" customWidth="1"/>
    <col min="17" max="17" width="7.140625" bestFit="1" customWidth="1"/>
    <col min="18" max="18" width="15.85546875" style="10" bestFit="1" customWidth="1"/>
  </cols>
  <sheetData>
    <row r="1" spans="1:18" ht="15.75" x14ac:dyDescent="0.25">
      <c r="A1" s="11" t="s">
        <v>52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4" t="s">
        <v>47</v>
      </c>
      <c r="B6" s="25"/>
      <c r="C6" s="25"/>
      <c r="D6" s="25"/>
      <c r="E6" s="17"/>
      <c r="F6" s="17"/>
      <c r="G6" s="17"/>
    </row>
    <row r="7" spans="1:18" ht="15" x14ac:dyDescent="0.2">
      <c r="A7" s="24" t="s">
        <v>48</v>
      </c>
      <c r="B7" s="25"/>
      <c r="C7" s="25"/>
    </row>
    <row r="9" spans="1:18" ht="9" customHeight="1" x14ac:dyDescent="0.2">
      <c r="A9" s="26" t="s">
        <v>1</v>
      </c>
      <c r="B9" s="6"/>
      <c r="C9" s="6"/>
      <c r="D9" s="3"/>
      <c r="F9" s="26" t="s">
        <v>1</v>
      </c>
      <c r="G9" s="6"/>
      <c r="H9" s="6"/>
      <c r="I9" s="3"/>
      <c r="K9" s="26" t="s">
        <v>3</v>
      </c>
      <c r="L9" s="26"/>
      <c r="M9" s="6"/>
      <c r="N9" s="6"/>
      <c r="O9" s="3"/>
      <c r="P9" s="6"/>
      <c r="Q9" s="6"/>
      <c r="R9" s="3"/>
    </row>
    <row r="10" spans="1:18" ht="28.35" customHeight="1" x14ac:dyDescent="0.2">
      <c r="A10" s="27"/>
      <c r="B10" s="8" t="s">
        <v>38</v>
      </c>
      <c r="C10" s="4" t="s">
        <v>2</v>
      </c>
      <c r="D10" s="4" t="s">
        <v>0</v>
      </c>
      <c r="F10" s="27"/>
      <c r="G10" s="8" t="s">
        <v>38</v>
      </c>
      <c r="H10" s="4" t="s">
        <v>2</v>
      </c>
      <c r="I10" s="4" t="s">
        <v>0</v>
      </c>
      <c r="K10" s="27"/>
      <c r="L10" s="27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43586</v>
      </c>
      <c r="B11" s="12">
        <v>2308</v>
      </c>
      <c r="C11" s="12">
        <v>169</v>
      </c>
      <c r="D11" s="12">
        <v>2477</v>
      </c>
      <c r="F11" s="5">
        <v>44317</v>
      </c>
      <c r="G11" s="12">
        <v>1145</v>
      </c>
      <c r="H11" s="12">
        <v>35</v>
      </c>
      <c r="I11" s="12">
        <v>1180</v>
      </c>
      <c r="K11" s="5">
        <v>43589</v>
      </c>
      <c r="L11" s="5">
        <v>44317</v>
      </c>
      <c r="M11" s="12">
        <v>-1870</v>
      </c>
      <c r="N11" s="12">
        <v>-36</v>
      </c>
      <c r="O11" s="12">
        <v>-1906</v>
      </c>
      <c r="P11" s="9">
        <v>-0.6202321724709785</v>
      </c>
      <c r="Q11" s="9">
        <v>-0.50704225352112675</v>
      </c>
      <c r="R11" s="13">
        <v>-0.61762799740764751</v>
      </c>
    </row>
    <row r="12" spans="1:18" x14ac:dyDescent="0.2">
      <c r="A12" s="5">
        <v>43587</v>
      </c>
      <c r="B12" s="12">
        <v>2017</v>
      </c>
      <c r="C12" s="12">
        <v>428</v>
      </c>
      <c r="D12" s="12">
        <v>2445</v>
      </c>
      <c r="F12" s="5">
        <v>44318</v>
      </c>
      <c r="G12" s="12">
        <v>1597</v>
      </c>
      <c r="H12" s="12">
        <v>15</v>
      </c>
      <c r="I12" s="12">
        <v>1612</v>
      </c>
      <c r="K12" s="5">
        <v>43590</v>
      </c>
      <c r="L12" s="5">
        <v>44318</v>
      </c>
      <c r="M12" s="12">
        <v>-1367</v>
      </c>
      <c r="N12" s="12">
        <v>-9</v>
      </c>
      <c r="O12" s="12">
        <v>-1376</v>
      </c>
      <c r="P12" s="9">
        <v>-0.4612010796221323</v>
      </c>
      <c r="Q12" s="9">
        <v>-0.375</v>
      </c>
      <c r="R12" s="13">
        <v>-0.46050870147255685</v>
      </c>
    </row>
    <row r="13" spans="1:18" x14ac:dyDescent="0.2">
      <c r="A13" s="5">
        <v>43588</v>
      </c>
      <c r="B13" s="12">
        <v>2739</v>
      </c>
      <c r="C13" s="12">
        <v>452</v>
      </c>
      <c r="D13" s="12">
        <v>3191</v>
      </c>
      <c r="F13" s="5">
        <v>44319</v>
      </c>
      <c r="G13" s="12">
        <v>1716</v>
      </c>
      <c r="H13" s="12">
        <v>389</v>
      </c>
      <c r="I13" s="12">
        <v>2105</v>
      </c>
      <c r="K13" s="5">
        <v>43591</v>
      </c>
      <c r="L13" s="5">
        <v>44319</v>
      </c>
      <c r="M13" s="12">
        <v>-265</v>
      </c>
      <c r="N13" s="12">
        <v>-10</v>
      </c>
      <c r="O13" s="12">
        <v>-275</v>
      </c>
      <c r="P13" s="9">
        <v>-0.13377082281675923</v>
      </c>
      <c r="Q13" s="9">
        <v>-2.5062656641604009E-2</v>
      </c>
      <c r="R13" s="13">
        <v>-0.11554621848739499</v>
      </c>
    </row>
    <row r="14" spans="1:18" x14ac:dyDescent="0.2">
      <c r="A14" s="5">
        <v>43589</v>
      </c>
      <c r="B14" s="12">
        <v>3015</v>
      </c>
      <c r="C14" s="12">
        <v>71</v>
      </c>
      <c r="D14" s="12">
        <v>3086</v>
      </c>
      <c r="F14" s="5">
        <v>44320</v>
      </c>
      <c r="G14" s="12">
        <v>1466</v>
      </c>
      <c r="H14" s="12">
        <v>448</v>
      </c>
      <c r="I14" s="12">
        <v>1914</v>
      </c>
      <c r="K14" s="5">
        <v>43592</v>
      </c>
      <c r="L14" s="5">
        <v>44320</v>
      </c>
      <c r="M14" s="12">
        <v>-318</v>
      </c>
      <c r="N14" s="12">
        <v>-23</v>
      </c>
      <c r="O14" s="12">
        <v>-341</v>
      </c>
      <c r="P14" s="9">
        <v>-0.1782511210762332</v>
      </c>
      <c r="Q14" s="9">
        <v>-4.8832271762208057E-2</v>
      </c>
      <c r="R14" s="13">
        <v>-0.15121951219512197</v>
      </c>
    </row>
    <row r="15" spans="1:18" x14ac:dyDescent="0.2">
      <c r="A15" s="5">
        <v>43590</v>
      </c>
      <c r="B15" s="12">
        <v>2964</v>
      </c>
      <c r="C15" s="12">
        <v>24</v>
      </c>
      <c r="D15" s="12">
        <v>2988</v>
      </c>
      <c r="F15" s="5">
        <v>44321</v>
      </c>
      <c r="G15" s="12">
        <v>1411</v>
      </c>
      <c r="H15" s="12">
        <v>506</v>
      </c>
      <c r="I15" s="12">
        <v>1917</v>
      </c>
      <c r="K15" s="5">
        <v>43593</v>
      </c>
      <c r="L15" s="5">
        <v>44321</v>
      </c>
      <c r="M15" s="12">
        <v>-243</v>
      </c>
      <c r="N15" s="12">
        <v>27</v>
      </c>
      <c r="O15" s="12">
        <v>-216</v>
      </c>
      <c r="P15" s="9">
        <v>-0.14691656590084645</v>
      </c>
      <c r="Q15" s="9">
        <v>5.6367432150313146E-2</v>
      </c>
      <c r="R15" s="13">
        <v>-0.10126582278481011</v>
      </c>
    </row>
    <row r="16" spans="1:18" x14ac:dyDescent="0.2">
      <c r="A16" s="5">
        <v>43591</v>
      </c>
      <c r="B16" s="12">
        <v>1981</v>
      </c>
      <c r="C16" s="12">
        <v>399</v>
      </c>
      <c r="D16" s="12">
        <v>2380</v>
      </c>
      <c r="F16" s="5">
        <v>44322</v>
      </c>
      <c r="G16" s="12">
        <v>1548</v>
      </c>
      <c r="H16" s="12">
        <v>471</v>
      </c>
      <c r="I16" s="12">
        <v>2019</v>
      </c>
      <c r="K16" s="5">
        <v>43594</v>
      </c>
      <c r="L16" s="5">
        <v>44322</v>
      </c>
      <c r="M16" s="12">
        <v>-338</v>
      </c>
      <c r="N16" s="12">
        <v>11</v>
      </c>
      <c r="O16" s="12">
        <v>-327</v>
      </c>
      <c r="P16" s="9">
        <v>-0.17921527041357366</v>
      </c>
      <c r="Q16" s="9">
        <v>2.3913043478260843E-2</v>
      </c>
      <c r="R16" s="13">
        <v>-0.13938618925831203</v>
      </c>
    </row>
    <row r="17" spans="1:18" x14ac:dyDescent="0.2">
      <c r="A17" s="5">
        <v>43592</v>
      </c>
      <c r="B17" s="12">
        <v>1784</v>
      </c>
      <c r="C17" s="12">
        <v>471</v>
      </c>
      <c r="D17" s="12">
        <v>2255</v>
      </c>
      <c r="F17" s="5">
        <v>44323</v>
      </c>
      <c r="G17" s="12">
        <v>2083</v>
      </c>
      <c r="H17" s="12">
        <v>364</v>
      </c>
      <c r="I17" s="12">
        <v>2447</v>
      </c>
      <c r="K17" s="5">
        <v>43595</v>
      </c>
      <c r="L17" s="5">
        <v>44323</v>
      </c>
      <c r="M17" s="12">
        <v>-786</v>
      </c>
      <c r="N17" s="12">
        <v>-6</v>
      </c>
      <c r="O17" s="12">
        <v>-792</v>
      </c>
      <c r="P17" s="9">
        <v>-0.27396305332868598</v>
      </c>
      <c r="Q17" s="9">
        <v>-1.6216216216216162E-2</v>
      </c>
      <c r="R17" s="13">
        <v>-0.24451991355356595</v>
      </c>
    </row>
    <row r="18" spans="1:18" x14ac:dyDescent="0.2">
      <c r="A18" s="5">
        <v>43593</v>
      </c>
      <c r="B18" s="12">
        <v>1654</v>
      </c>
      <c r="C18" s="12">
        <v>479</v>
      </c>
      <c r="D18" s="12">
        <v>2133</v>
      </c>
      <c r="F18" s="5">
        <v>44324</v>
      </c>
      <c r="G18" s="12">
        <v>1804</v>
      </c>
      <c r="H18" s="12">
        <v>55</v>
      </c>
      <c r="I18" s="12">
        <v>1859</v>
      </c>
      <c r="K18" s="5">
        <v>43596</v>
      </c>
      <c r="L18" s="5">
        <v>44324</v>
      </c>
      <c r="M18" s="12">
        <v>-877</v>
      </c>
      <c r="N18" s="12">
        <v>-19</v>
      </c>
      <c r="O18" s="12">
        <v>-896</v>
      </c>
      <c r="P18" s="9">
        <v>-0.3271167474822827</v>
      </c>
      <c r="Q18" s="9">
        <v>-0.2567567567567568</v>
      </c>
      <c r="R18" s="13">
        <v>-0.32522686025408354</v>
      </c>
    </row>
    <row r="19" spans="1:18" x14ac:dyDescent="0.2">
      <c r="A19" s="5">
        <v>43594</v>
      </c>
      <c r="B19" s="12">
        <v>1886</v>
      </c>
      <c r="C19" s="12">
        <v>460</v>
      </c>
      <c r="D19" s="12">
        <v>2346</v>
      </c>
      <c r="F19" s="5">
        <v>44325</v>
      </c>
      <c r="G19" s="12">
        <v>1991</v>
      </c>
      <c r="H19" s="12">
        <v>13</v>
      </c>
      <c r="I19" s="12">
        <v>2004</v>
      </c>
      <c r="K19" s="5">
        <v>43597</v>
      </c>
      <c r="L19" s="5">
        <v>44325</v>
      </c>
      <c r="M19" s="12">
        <v>-1736</v>
      </c>
      <c r="N19" s="12">
        <v>-26</v>
      </c>
      <c r="O19" s="12">
        <v>-1762</v>
      </c>
      <c r="P19" s="9">
        <v>-0.46579017976925141</v>
      </c>
      <c r="Q19" s="9">
        <v>-0.66666666666666674</v>
      </c>
      <c r="R19" s="13">
        <v>-0.46787041954328201</v>
      </c>
    </row>
    <row r="20" spans="1:18" x14ac:dyDescent="0.2">
      <c r="A20" s="5">
        <v>43595</v>
      </c>
      <c r="B20" s="12">
        <v>2869</v>
      </c>
      <c r="C20" s="12">
        <v>370</v>
      </c>
      <c r="D20" s="12">
        <v>3239</v>
      </c>
      <c r="F20" s="5">
        <v>44326</v>
      </c>
      <c r="G20" s="12">
        <v>1520</v>
      </c>
      <c r="H20" s="12">
        <v>402</v>
      </c>
      <c r="I20" s="12">
        <v>1922</v>
      </c>
      <c r="K20" s="5">
        <v>43598</v>
      </c>
      <c r="L20" s="5">
        <v>44326</v>
      </c>
      <c r="M20" s="12">
        <v>-816</v>
      </c>
      <c r="N20" s="12">
        <v>-66</v>
      </c>
      <c r="O20" s="12">
        <v>-882</v>
      </c>
      <c r="P20" s="9">
        <v>-0.34931506849315064</v>
      </c>
      <c r="Q20" s="9">
        <v>-0.14102564102564108</v>
      </c>
      <c r="R20" s="13">
        <v>-0.31455064194008564</v>
      </c>
    </row>
    <row r="21" spans="1:18" x14ac:dyDescent="0.2">
      <c r="A21" s="5">
        <v>43596</v>
      </c>
      <c r="B21" s="12">
        <v>2681</v>
      </c>
      <c r="C21" s="12">
        <v>74</v>
      </c>
      <c r="D21" s="12">
        <v>2755</v>
      </c>
      <c r="F21" s="5">
        <v>44327</v>
      </c>
      <c r="G21" s="12">
        <v>1422</v>
      </c>
      <c r="H21" s="12">
        <v>434</v>
      </c>
      <c r="I21" s="12">
        <v>1856</v>
      </c>
      <c r="K21" s="5">
        <v>43599</v>
      </c>
      <c r="L21" s="5">
        <v>44327</v>
      </c>
      <c r="M21" s="12">
        <v>-415</v>
      </c>
      <c r="N21" s="12">
        <v>-9</v>
      </c>
      <c r="O21" s="12">
        <v>-424</v>
      </c>
      <c r="P21" s="9">
        <v>-0.22591181273816008</v>
      </c>
      <c r="Q21" s="9">
        <v>-2.0316027088036148E-2</v>
      </c>
      <c r="R21" s="13">
        <v>-0.18596491228070178</v>
      </c>
    </row>
    <row r="22" spans="1:18" x14ac:dyDescent="0.2">
      <c r="A22" s="5">
        <v>43597</v>
      </c>
      <c r="B22" s="12">
        <v>3727</v>
      </c>
      <c r="C22" s="12">
        <v>39</v>
      </c>
      <c r="D22" s="12">
        <v>3766</v>
      </c>
      <c r="F22" s="5">
        <v>44328</v>
      </c>
      <c r="G22" s="12">
        <v>2793</v>
      </c>
      <c r="H22" s="12">
        <v>522</v>
      </c>
      <c r="I22" s="12">
        <v>3315</v>
      </c>
      <c r="K22" s="5">
        <v>43600</v>
      </c>
      <c r="L22" s="5">
        <v>44328</v>
      </c>
      <c r="M22" s="12">
        <v>918</v>
      </c>
      <c r="N22" s="12">
        <v>40</v>
      </c>
      <c r="O22" s="12">
        <v>958</v>
      </c>
      <c r="P22" s="9">
        <v>0.48960000000000004</v>
      </c>
      <c r="Q22" s="9">
        <v>8.2987551867219844E-2</v>
      </c>
      <c r="R22" s="13">
        <v>0.40644887568943577</v>
      </c>
    </row>
    <row r="23" spans="1:18" x14ac:dyDescent="0.2">
      <c r="A23" s="5">
        <v>43598</v>
      </c>
      <c r="B23" s="12">
        <v>2336</v>
      </c>
      <c r="C23" s="12">
        <v>468</v>
      </c>
      <c r="D23" s="12">
        <v>2804</v>
      </c>
      <c r="F23" s="5">
        <v>44329</v>
      </c>
      <c r="G23" s="12">
        <v>2308</v>
      </c>
      <c r="H23" s="12">
        <v>23</v>
      </c>
      <c r="I23" s="12">
        <v>2331</v>
      </c>
      <c r="K23" s="5">
        <v>43601</v>
      </c>
      <c r="L23" s="5">
        <v>44329</v>
      </c>
      <c r="M23" s="12">
        <v>245</v>
      </c>
      <c r="N23" s="12">
        <v>-449</v>
      </c>
      <c r="O23" s="12">
        <v>-204</v>
      </c>
      <c r="P23" s="9">
        <v>0.11875908870576835</v>
      </c>
      <c r="Q23" s="9">
        <v>-0.95127118644067798</v>
      </c>
      <c r="R23" s="13">
        <v>-8.0473372781065033E-2</v>
      </c>
    </row>
    <row r="24" spans="1:18" x14ac:dyDescent="0.2">
      <c r="A24" s="5">
        <v>43599</v>
      </c>
      <c r="B24" s="12">
        <v>1837</v>
      </c>
      <c r="C24" s="12">
        <v>443</v>
      </c>
      <c r="D24" s="12">
        <v>2280</v>
      </c>
      <c r="F24" s="5">
        <v>44330</v>
      </c>
      <c r="G24" s="12">
        <v>2054</v>
      </c>
      <c r="H24" s="12">
        <v>336</v>
      </c>
      <c r="I24" s="12">
        <v>2390</v>
      </c>
      <c r="K24" s="5">
        <v>43602</v>
      </c>
      <c r="L24" s="5">
        <v>44330</v>
      </c>
      <c r="M24" s="12">
        <v>-659</v>
      </c>
      <c r="N24" s="12">
        <v>-42</v>
      </c>
      <c r="O24" s="12">
        <v>-701</v>
      </c>
      <c r="P24" s="9">
        <v>-0.242904533726502</v>
      </c>
      <c r="Q24" s="9">
        <v>-0.11111111111111116</v>
      </c>
      <c r="R24" s="13">
        <v>-0.22678744742801682</v>
      </c>
    </row>
    <row r="25" spans="1:18" x14ac:dyDescent="0.2">
      <c r="A25" s="5">
        <v>43600</v>
      </c>
      <c r="B25" s="12">
        <v>1875</v>
      </c>
      <c r="C25" s="12">
        <v>482</v>
      </c>
      <c r="D25" s="12">
        <v>2357</v>
      </c>
      <c r="F25" s="5">
        <v>44331</v>
      </c>
      <c r="G25" s="12">
        <v>1882</v>
      </c>
      <c r="H25" s="12">
        <v>95</v>
      </c>
      <c r="I25" s="12">
        <v>1977</v>
      </c>
      <c r="K25" s="5">
        <v>43603</v>
      </c>
      <c r="L25" s="5">
        <v>44331</v>
      </c>
      <c r="M25" s="12">
        <v>-631</v>
      </c>
      <c r="N25" s="12">
        <v>31</v>
      </c>
      <c r="O25" s="12">
        <v>-600</v>
      </c>
      <c r="P25" s="9">
        <v>-0.25109430959013135</v>
      </c>
      <c r="Q25" s="9">
        <v>0.484375</v>
      </c>
      <c r="R25" s="13">
        <v>-0.23282887077997672</v>
      </c>
    </row>
    <row r="26" spans="1:18" x14ac:dyDescent="0.2">
      <c r="A26" s="5">
        <v>43601</v>
      </c>
      <c r="B26" s="12">
        <v>2063</v>
      </c>
      <c r="C26" s="12">
        <v>472</v>
      </c>
      <c r="D26" s="12">
        <v>2535</v>
      </c>
      <c r="F26" s="5">
        <v>44332</v>
      </c>
      <c r="G26" s="12">
        <v>3495</v>
      </c>
      <c r="H26" s="12">
        <v>20</v>
      </c>
      <c r="I26" s="12">
        <v>3515</v>
      </c>
      <c r="K26" s="5">
        <v>43604</v>
      </c>
      <c r="L26" s="5">
        <v>44332</v>
      </c>
      <c r="M26" s="12">
        <v>788</v>
      </c>
      <c r="N26" s="12">
        <v>3</v>
      </c>
      <c r="O26" s="12">
        <v>791</v>
      </c>
      <c r="P26" s="9">
        <v>0.29109715552271886</v>
      </c>
      <c r="Q26" s="9">
        <v>0.17647058823529416</v>
      </c>
      <c r="R26" s="13">
        <v>0.29038179148311305</v>
      </c>
    </row>
    <row r="27" spans="1:18" x14ac:dyDescent="0.2">
      <c r="A27" s="5">
        <v>43602</v>
      </c>
      <c r="B27" s="12">
        <v>2713</v>
      </c>
      <c r="C27" s="12">
        <v>378</v>
      </c>
      <c r="D27" s="12">
        <v>3091</v>
      </c>
      <c r="F27" s="5">
        <v>44333</v>
      </c>
      <c r="G27" s="12">
        <v>1945</v>
      </c>
      <c r="H27" s="12">
        <v>403</v>
      </c>
      <c r="I27" s="12">
        <v>2348</v>
      </c>
      <c r="K27" s="5">
        <v>43605</v>
      </c>
      <c r="L27" s="5">
        <v>44333</v>
      </c>
      <c r="M27" s="12">
        <v>254</v>
      </c>
      <c r="N27" s="12">
        <v>-9</v>
      </c>
      <c r="O27" s="12">
        <v>245</v>
      </c>
      <c r="P27" s="9">
        <v>0.15020697811945594</v>
      </c>
      <c r="Q27" s="9">
        <v>-2.1844660194174748E-2</v>
      </c>
      <c r="R27" s="13">
        <v>0.11650023775558727</v>
      </c>
    </row>
    <row r="28" spans="1:18" x14ac:dyDescent="0.2">
      <c r="A28" s="5">
        <v>43603</v>
      </c>
      <c r="B28" s="12">
        <v>2513</v>
      </c>
      <c r="C28" s="12">
        <v>64</v>
      </c>
      <c r="D28" s="12">
        <v>2577</v>
      </c>
      <c r="F28" s="5">
        <v>44334</v>
      </c>
      <c r="G28" s="12">
        <v>1677</v>
      </c>
      <c r="H28" s="12">
        <v>489</v>
      </c>
      <c r="I28" s="12">
        <v>2166</v>
      </c>
      <c r="K28" s="5">
        <v>43606</v>
      </c>
      <c r="L28" s="5">
        <v>44334</v>
      </c>
      <c r="M28" s="12">
        <v>15</v>
      </c>
      <c r="N28" s="12">
        <v>94</v>
      </c>
      <c r="O28" s="12">
        <v>109</v>
      </c>
      <c r="P28" s="9">
        <v>9.0252707581226499E-3</v>
      </c>
      <c r="Q28" s="9">
        <v>0.23797468354430373</v>
      </c>
      <c r="R28" s="13">
        <v>5.2989790957705507E-2</v>
      </c>
    </row>
    <row r="29" spans="1:18" x14ac:dyDescent="0.2">
      <c r="A29" s="5">
        <v>43604</v>
      </c>
      <c r="B29" s="12">
        <v>2707</v>
      </c>
      <c r="C29" s="12">
        <v>17</v>
      </c>
      <c r="D29" s="12">
        <v>2724</v>
      </c>
      <c r="F29" s="5">
        <v>44335</v>
      </c>
      <c r="G29" s="12">
        <v>1810</v>
      </c>
      <c r="H29" s="12">
        <v>416</v>
      </c>
      <c r="I29" s="12">
        <v>2226</v>
      </c>
      <c r="K29" s="5">
        <v>43607</v>
      </c>
      <c r="L29" s="5">
        <v>44335</v>
      </c>
      <c r="M29" s="12">
        <v>-51</v>
      </c>
      <c r="N29" s="12">
        <v>-20</v>
      </c>
      <c r="O29" s="12">
        <v>-71</v>
      </c>
      <c r="P29" s="9">
        <v>-2.7404621171413179E-2</v>
      </c>
      <c r="Q29" s="9">
        <v>-4.587155963302747E-2</v>
      </c>
      <c r="R29" s="13">
        <v>-3.0909882455376625E-2</v>
      </c>
    </row>
    <row r="30" spans="1:18" x14ac:dyDescent="0.2">
      <c r="A30" s="5">
        <v>43605</v>
      </c>
      <c r="B30" s="12">
        <v>1691</v>
      </c>
      <c r="C30" s="12">
        <v>412</v>
      </c>
      <c r="D30" s="12">
        <v>2103</v>
      </c>
      <c r="F30" s="5">
        <v>44336</v>
      </c>
      <c r="G30" s="12">
        <v>1879</v>
      </c>
      <c r="H30" s="12">
        <v>479</v>
      </c>
      <c r="I30" s="12">
        <v>2358</v>
      </c>
      <c r="K30" s="5">
        <v>43608</v>
      </c>
      <c r="L30" s="5">
        <v>44336</v>
      </c>
      <c r="M30" s="12">
        <v>-265</v>
      </c>
      <c r="N30" s="12">
        <v>49</v>
      </c>
      <c r="O30" s="12">
        <v>-216</v>
      </c>
      <c r="P30" s="9">
        <v>-0.12360074626865669</v>
      </c>
      <c r="Q30" s="9">
        <v>0.11395348837209296</v>
      </c>
      <c r="R30" s="13">
        <v>-8.3916083916083961E-2</v>
      </c>
    </row>
    <row r="31" spans="1:18" x14ac:dyDescent="0.2">
      <c r="A31" s="5">
        <v>43606</v>
      </c>
      <c r="B31" s="12">
        <v>1662</v>
      </c>
      <c r="C31" s="12">
        <v>395</v>
      </c>
      <c r="D31" s="12">
        <v>2057</v>
      </c>
      <c r="F31" s="5">
        <v>44337</v>
      </c>
      <c r="G31" s="12">
        <v>2875</v>
      </c>
      <c r="H31" s="12">
        <v>387</v>
      </c>
      <c r="I31" s="12">
        <v>3262</v>
      </c>
      <c r="K31" s="5">
        <v>43609</v>
      </c>
      <c r="L31" s="5">
        <v>44337</v>
      </c>
      <c r="M31" s="12">
        <v>-230</v>
      </c>
      <c r="N31" s="12">
        <v>50</v>
      </c>
      <c r="O31" s="12">
        <v>-180</v>
      </c>
      <c r="P31" s="9">
        <v>-7.407407407407407E-2</v>
      </c>
      <c r="Q31" s="9">
        <v>0.14836795252225521</v>
      </c>
      <c r="R31" s="13">
        <v>-5.2295177222545064E-2</v>
      </c>
    </row>
    <row r="32" spans="1:18" x14ac:dyDescent="0.2">
      <c r="A32" s="5">
        <v>43607</v>
      </c>
      <c r="B32" s="12">
        <v>1861</v>
      </c>
      <c r="C32" s="12">
        <v>436</v>
      </c>
      <c r="D32" s="12">
        <v>2297</v>
      </c>
      <c r="F32" s="5">
        <v>44338</v>
      </c>
      <c r="G32" s="12">
        <v>2490</v>
      </c>
      <c r="H32" s="12">
        <v>88</v>
      </c>
      <c r="I32" s="12">
        <v>2578</v>
      </c>
      <c r="K32" s="5">
        <v>43610</v>
      </c>
      <c r="L32" s="5">
        <v>44338</v>
      </c>
      <c r="M32" s="12">
        <v>-506</v>
      </c>
      <c r="N32" s="12">
        <v>28</v>
      </c>
      <c r="O32" s="12">
        <v>-478</v>
      </c>
      <c r="P32" s="9">
        <v>-0.16889185580774368</v>
      </c>
      <c r="Q32" s="9">
        <v>0.46666666666666656</v>
      </c>
      <c r="R32" s="13">
        <v>-0.15641361256544506</v>
      </c>
    </row>
    <row r="33" spans="1:18" x14ac:dyDescent="0.2">
      <c r="A33" s="5">
        <v>43608</v>
      </c>
      <c r="B33" s="12">
        <v>2144</v>
      </c>
      <c r="C33" s="12">
        <v>430</v>
      </c>
      <c r="D33" s="12">
        <v>2574</v>
      </c>
      <c r="F33" s="5">
        <v>44339</v>
      </c>
      <c r="G33" s="12">
        <v>2409</v>
      </c>
      <c r="H33" s="12">
        <v>21</v>
      </c>
      <c r="I33" s="12">
        <v>2430</v>
      </c>
      <c r="K33" s="5">
        <v>43611</v>
      </c>
      <c r="L33" s="5">
        <v>44339</v>
      </c>
      <c r="M33" s="12">
        <v>-1130</v>
      </c>
      <c r="N33" s="12">
        <v>5</v>
      </c>
      <c r="O33" s="12">
        <v>-1125</v>
      </c>
      <c r="P33" s="9">
        <v>-0.31929923707261942</v>
      </c>
      <c r="Q33" s="9">
        <v>0.3125</v>
      </c>
      <c r="R33" s="13">
        <v>-0.31645569620253167</v>
      </c>
    </row>
    <row r="34" spans="1:18" x14ac:dyDescent="0.2">
      <c r="A34" s="5">
        <v>43609</v>
      </c>
      <c r="B34" s="12">
        <v>3105</v>
      </c>
      <c r="C34" s="12">
        <v>337</v>
      </c>
      <c r="D34" s="12">
        <v>3442</v>
      </c>
      <c r="F34" s="5">
        <v>44340</v>
      </c>
      <c r="G34" s="12">
        <v>2971</v>
      </c>
      <c r="H34" s="12">
        <v>178</v>
      </c>
      <c r="I34" s="12">
        <v>3149</v>
      </c>
      <c r="K34" s="5">
        <v>43612</v>
      </c>
      <c r="L34" s="5">
        <v>44340</v>
      </c>
      <c r="M34" s="12">
        <v>915</v>
      </c>
      <c r="N34" s="12">
        <v>-236</v>
      </c>
      <c r="O34" s="12">
        <v>679</v>
      </c>
      <c r="P34" s="9">
        <v>0.44503891050583655</v>
      </c>
      <c r="Q34" s="9">
        <v>-0.57004830917874394</v>
      </c>
      <c r="R34" s="13">
        <v>0.27489878542510127</v>
      </c>
    </row>
    <row r="35" spans="1:18" x14ac:dyDescent="0.2">
      <c r="A35" s="5">
        <v>43610</v>
      </c>
      <c r="B35" s="12">
        <v>2996</v>
      </c>
      <c r="C35" s="12">
        <v>60</v>
      </c>
      <c r="D35" s="12">
        <v>3056</v>
      </c>
      <c r="F35" s="5">
        <v>44341</v>
      </c>
      <c r="G35" s="12">
        <v>1902</v>
      </c>
      <c r="H35" s="12">
        <v>517</v>
      </c>
      <c r="I35" s="12">
        <v>2419</v>
      </c>
      <c r="K35" s="5">
        <v>43613</v>
      </c>
      <c r="L35" s="5">
        <v>44341</v>
      </c>
      <c r="M35" s="12">
        <v>97</v>
      </c>
      <c r="N35" s="12">
        <v>79</v>
      </c>
      <c r="O35" s="12">
        <v>176</v>
      </c>
      <c r="P35" s="9">
        <v>5.373961218836576E-2</v>
      </c>
      <c r="Q35" s="9">
        <v>0.18036529680365287</v>
      </c>
      <c r="R35" s="13">
        <v>7.8466339723584522E-2</v>
      </c>
    </row>
    <row r="36" spans="1:18" x14ac:dyDescent="0.2">
      <c r="A36" s="5">
        <v>43611</v>
      </c>
      <c r="B36" s="12">
        <v>3539</v>
      </c>
      <c r="C36" s="12">
        <v>16</v>
      </c>
      <c r="D36" s="12">
        <v>3555</v>
      </c>
      <c r="F36" s="5">
        <v>44342</v>
      </c>
      <c r="G36" s="12">
        <v>1728</v>
      </c>
      <c r="H36" s="12">
        <v>438</v>
      </c>
      <c r="I36" s="12">
        <v>2166</v>
      </c>
      <c r="K36" s="5">
        <v>43614</v>
      </c>
      <c r="L36" s="5">
        <v>44342</v>
      </c>
      <c r="M36" s="12">
        <v>-3126</v>
      </c>
      <c r="N36" s="12">
        <v>-101</v>
      </c>
      <c r="O36" s="12">
        <v>-3227</v>
      </c>
      <c r="P36" s="9">
        <v>-0.64400494437577249</v>
      </c>
      <c r="Q36" s="9">
        <v>-0.18738404452690172</v>
      </c>
      <c r="R36" s="13">
        <v>-0.59836825514555914</v>
      </c>
    </row>
    <row r="37" spans="1:18" x14ac:dyDescent="0.2">
      <c r="A37" s="5">
        <v>43612</v>
      </c>
      <c r="B37" s="12">
        <v>2056</v>
      </c>
      <c r="C37" s="12">
        <v>414</v>
      </c>
      <c r="D37" s="12">
        <v>2470</v>
      </c>
      <c r="F37" s="5">
        <v>44343</v>
      </c>
      <c r="G37" s="12">
        <v>1901</v>
      </c>
      <c r="H37" s="12">
        <v>474</v>
      </c>
      <c r="I37" s="12">
        <v>2375</v>
      </c>
      <c r="K37" s="5">
        <v>43615</v>
      </c>
      <c r="L37" s="5">
        <v>44343</v>
      </c>
      <c r="M37" s="12">
        <v>-5680</v>
      </c>
      <c r="N37" s="12">
        <v>436</v>
      </c>
      <c r="O37" s="12">
        <v>-5244</v>
      </c>
      <c r="P37" s="9">
        <v>-0.74924152486479356</v>
      </c>
      <c r="Q37" s="9">
        <v>11.473684210526315</v>
      </c>
      <c r="R37" s="13">
        <v>-0.6882793017456359</v>
      </c>
    </row>
    <row r="38" spans="1:18" x14ac:dyDescent="0.2">
      <c r="A38" s="5">
        <v>43613</v>
      </c>
      <c r="B38" s="12">
        <v>1805</v>
      </c>
      <c r="C38" s="12">
        <v>438</v>
      </c>
      <c r="D38" s="12">
        <v>2243</v>
      </c>
      <c r="F38" s="5">
        <v>44344</v>
      </c>
      <c r="G38" s="12">
        <v>2779</v>
      </c>
      <c r="H38" s="12">
        <v>349</v>
      </c>
      <c r="I38" s="12">
        <v>3128</v>
      </c>
      <c r="K38" s="5">
        <v>43616</v>
      </c>
      <c r="L38" s="5">
        <v>44344</v>
      </c>
      <c r="M38" s="12">
        <v>-1365</v>
      </c>
      <c r="N38" s="12">
        <v>36</v>
      </c>
      <c r="O38" s="12">
        <v>-1329</v>
      </c>
      <c r="P38" s="9">
        <v>-0.32939189189189189</v>
      </c>
      <c r="Q38" s="9">
        <v>0.11501597444089451</v>
      </c>
      <c r="R38" s="13">
        <v>-0.29818263405878398</v>
      </c>
    </row>
    <row r="39" spans="1:18" x14ac:dyDescent="0.2">
      <c r="A39" s="5">
        <v>43614</v>
      </c>
      <c r="B39" s="12">
        <v>4854</v>
      </c>
      <c r="C39" s="12">
        <v>539</v>
      </c>
      <c r="D39" s="12">
        <v>5393</v>
      </c>
      <c r="F39" s="5">
        <v>44345</v>
      </c>
      <c r="G39" s="12">
        <v>2364</v>
      </c>
      <c r="H39" s="12">
        <v>85</v>
      </c>
      <c r="I39" s="12">
        <v>2449</v>
      </c>
      <c r="K39" s="5">
        <v>43617</v>
      </c>
      <c r="L39" s="5">
        <v>44345</v>
      </c>
      <c r="M39" s="12">
        <v>-3195</v>
      </c>
      <c r="N39" s="12">
        <v>-4</v>
      </c>
      <c r="O39" s="12">
        <v>-3199</v>
      </c>
      <c r="P39" s="9">
        <v>-0.57474365893146251</v>
      </c>
      <c r="Q39" s="9">
        <v>-4.49438202247191E-2</v>
      </c>
      <c r="R39" s="13">
        <v>-0.56639518413597734</v>
      </c>
    </row>
    <row r="40" spans="1:18" x14ac:dyDescent="0.2">
      <c r="A40" s="5">
        <v>43615</v>
      </c>
      <c r="B40" s="12">
        <v>7581</v>
      </c>
      <c r="C40" s="12">
        <v>38</v>
      </c>
      <c r="D40" s="12">
        <v>7619</v>
      </c>
      <c r="F40" s="5">
        <v>44346</v>
      </c>
      <c r="G40" s="12">
        <v>3026</v>
      </c>
      <c r="H40" s="12">
        <v>13</v>
      </c>
      <c r="I40" s="12">
        <v>3039</v>
      </c>
      <c r="K40" s="5">
        <v>43618</v>
      </c>
      <c r="L40" s="5">
        <v>44346</v>
      </c>
      <c r="M40" s="12">
        <v>-6491</v>
      </c>
      <c r="N40" s="12">
        <v>-66</v>
      </c>
      <c r="O40" s="12">
        <v>-6557</v>
      </c>
      <c r="P40" s="9">
        <v>-0.68204266050225915</v>
      </c>
      <c r="Q40" s="9">
        <v>-0.83544303797468356</v>
      </c>
      <c r="R40" s="13">
        <v>-0.68330554397665688</v>
      </c>
    </row>
    <row r="41" spans="1:18" x14ac:dyDescent="0.2">
      <c r="A41" s="5">
        <v>43616</v>
      </c>
      <c r="B41" s="12">
        <v>4144</v>
      </c>
      <c r="C41" s="12">
        <v>313</v>
      </c>
      <c r="D41" s="12">
        <v>4457</v>
      </c>
      <c r="F41" s="5">
        <v>44347</v>
      </c>
      <c r="G41" s="12">
        <v>2028</v>
      </c>
      <c r="H41" s="12">
        <v>395</v>
      </c>
      <c r="I41" s="12">
        <v>2423</v>
      </c>
      <c r="K41" s="5">
        <v>43619</v>
      </c>
      <c r="L41" s="5">
        <v>44347</v>
      </c>
      <c r="M41" s="12">
        <f t="shared" ref="M41:O41" si="0">G41-B44</f>
        <v>-708</v>
      </c>
      <c r="N41" s="12">
        <f t="shared" si="0"/>
        <v>-47</v>
      </c>
      <c r="O41" s="12">
        <f t="shared" si="0"/>
        <v>-755</v>
      </c>
      <c r="P41" s="9">
        <f t="shared" ref="P41:R41" si="1">G41/B44-1</f>
        <v>-0.25877192982456143</v>
      </c>
      <c r="Q41" s="9">
        <f t="shared" si="1"/>
        <v>-0.10633484162895923</v>
      </c>
      <c r="R41" s="13">
        <f t="shared" si="1"/>
        <v>-0.23757079924480806</v>
      </c>
    </row>
    <row r="42" spans="1:18" x14ac:dyDescent="0.2">
      <c r="A42" s="5">
        <v>43617</v>
      </c>
      <c r="B42" s="12">
        <v>5559</v>
      </c>
      <c r="C42" s="12">
        <v>89</v>
      </c>
      <c r="D42" s="12">
        <v>5648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">
      <c r="A43" s="5">
        <v>43618</v>
      </c>
      <c r="B43" s="12">
        <v>9517</v>
      </c>
      <c r="C43" s="12">
        <v>79</v>
      </c>
      <c r="D43" s="12">
        <v>9596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5">
        <v>43619</v>
      </c>
      <c r="B44" s="12">
        <v>2736</v>
      </c>
      <c r="C44" s="12">
        <v>442</v>
      </c>
      <c r="D44" s="12">
        <v>3178</v>
      </c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">
      <c r="A45" s="5"/>
      <c r="B45" s="12"/>
      <c r="C45" s="12"/>
      <c r="D45" s="12"/>
      <c r="F45" s="5"/>
      <c r="G45" s="12"/>
      <c r="H45" s="12"/>
      <c r="I45" s="12"/>
      <c r="K45" s="5"/>
      <c r="L45" s="5"/>
      <c r="M45" s="12"/>
      <c r="N45" s="12"/>
      <c r="O45" s="12"/>
      <c r="P45" s="9"/>
      <c r="Q45" s="9"/>
      <c r="R45" s="13"/>
    </row>
    <row r="46" spans="1:18" x14ac:dyDescent="0.2">
      <c r="A46" s="1"/>
      <c r="B46" s="2"/>
      <c r="C46" s="2"/>
      <c r="D46" s="2"/>
      <c r="F46" s="1"/>
      <c r="G46" s="2"/>
      <c r="H46" s="2"/>
      <c r="I46" s="2"/>
    </row>
    <row r="47" spans="1:18" x14ac:dyDescent="0.2">
      <c r="A47" s="26" t="s">
        <v>20</v>
      </c>
      <c r="B47" s="6"/>
      <c r="C47" s="6"/>
      <c r="D47" s="3"/>
      <c r="F47" s="26" t="s">
        <v>20</v>
      </c>
      <c r="G47" s="6"/>
      <c r="H47" s="6"/>
      <c r="I47" s="3"/>
      <c r="K47" s="26" t="s">
        <v>21</v>
      </c>
      <c r="L47" s="26"/>
      <c r="M47" s="6"/>
      <c r="N47" s="6"/>
      <c r="O47" s="3"/>
      <c r="P47" s="6"/>
      <c r="Q47" s="6"/>
      <c r="R47" s="3"/>
    </row>
    <row r="48" spans="1:18" ht="30.6" customHeight="1" x14ac:dyDescent="0.2">
      <c r="A48" s="27"/>
      <c r="B48" s="8" t="s">
        <v>38</v>
      </c>
      <c r="C48" s="4" t="s">
        <v>2</v>
      </c>
      <c r="D48" s="4" t="s">
        <v>0</v>
      </c>
      <c r="F48" s="27"/>
      <c r="G48" s="8" t="s">
        <v>38</v>
      </c>
      <c r="H48" s="4" t="s">
        <v>2</v>
      </c>
      <c r="I48" s="4" t="s">
        <v>0</v>
      </c>
      <c r="K48" s="27"/>
      <c r="L48" s="27"/>
      <c r="M48" s="8" t="s">
        <v>38</v>
      </c>
      <c r="N48" s="4" t="s">
        <v>2</v>
      </c>
      <c r="O48" s="4" t="s">
        <v>0</v>
      </c>
      <c r="P48" s="8" t="s">
        <v>38</v>
      </c>
      <c r="Q48" s="4" t="s">
        <v>2</v>
      </c>
      <c r="R48" s="4" t="s">
        <v>0</v>
      </c>
    </row>
    <row r="49" spans="1:18" x14ac:dyDescent="0.2">
      <c r="A49" s="5">
        <v>43586</v>
      </c>
      <c r="B49" s="12">
        <v>1206</v>
      </c>
      <c r="C49" s="12">
        <v>110</v>
      </c>
      <c r="D49" s="12">
        <v>1316</v>
      </c>
      <c r="F49" s="5">
        <v>44317</v>
      </c>
      <c r="G49" s="12">
        <v>647</v>
      </c>
      <c r="H49" s="12">
        <v>19</v>
      </c>
      <c r="I49" s="12">
        <v>666</v>
      </c>
      <c r="K49" s="5">
        <v>43589</v>
      </c>
      <c r="L49" s="5">
        <v>44317</v>
      </c>
      <c r="M49" s="12">
        <v>-1015</v>
      </c>
      <c r="N49" s="12">
        <v>-24</v>
      </c>
      <c r="O49" s="12">
        <v>-1039</v>
      </c>
      <c r="P49" s="9">
        <v>-0.6107099879663056</v>
      </c>
      <c r="Q49" s="9">
        <v>-0.55813953488372092</v>
      </c>
      <c r="R49" s="13">
        <v>-0.60938416422287389</v>
      </c>
    </row>
    <row r="50" spans="1:18" x14ac:dyDescent="0.2">
      <c r="A50" s="5">
        <v>43587</v>
      </c>
      <c r="B50" s="12">
        <v>1059</v>
      </c>
      <c r="C50" s="12">
        <v>222</v>
      </c>
      <c r="D50" s="12">
        <v>1281</v>
      </c>
      <c r="F50" s="5">
        <v>44318</v>
      </c>
      <c r="G50" s="12">
        <v>635</v>
      </c>
      <c r="H50" s="12">
        <v>7</v>
      </c>
      <c r="I50" s="12">
        <v>642</v>
      </c>
      <c r="K50" s="5">
        <v>43590</v>
      </c>
      <c r="L50" s="5">
        <v>44318</v>
      </c>
      <c r="M50" s="12">
        <v>-481</v>
      </c>
      <c r="N50" s="12">
        <v>-2</v>
      </c>
      <c r="O50" s="12">
        <v>-483</v>
      </c>
      <c r="P50" s="9">
        <v>-0.43100358422939067</v>
      </c>
      <c r="Q50" s="9">
        <v>-0.22222222222222221</v>
      </c>
      <c r="R50" s="13">
        <v>-0.42933333333333334</v>
      </c>
    </row>
    <row r="51" spans="1:18" x14ac:dyDescent="0.2">
      <c r="A51" s="5">
        <v>43588</v>
      </c>
      <c r="B51" s="12">
        <v>1686</v>
      </c>
      <c r="C51" s="12">
        <v>283</v>
      </c>
      <c r="D51" s="12">
        <v>1969</v>
      </c>
      <c r="F51" s="5">
        <v>44319</v>
      </c>
      <c r="G51" s="12">
        <v>793</v>
      </c>
      <c r="H51" s="12">
        <v>211</v>
      </c>
      <c r="I51" s="12">
        <v>1004</v>
      </c>
      <c r="K51" s="5">
        <v>43591</v>
      </c>
      <c r="L51" s="5">
        <v>44319</v>
      </c>
      <c r="M51" s="12">
        <v>-128</v>
      </c>
      <c r="N51" s="12">
        <v>17</v>
      </c>
      <c r="O51" s="12">
        <v>-111</v>
      </c>
      <c r="P51" s="9">
        <v>-0.13897937024972851</v>
      </c>
      <c r="Q51" s="9">
        <v>8.7628865979381354E-2</v>
      </c>
      <c r="R51" s="13">
        <v>-9.9551569506726501E-2</v>
      </c>
    </row>
    <row r="52" spans="1:18" x14ac:dyDescent="0.2">
      <c r="A52" s="5">
        <v>43589</v>
      </c>
      <c r="B52" s="12">
        <v>1662</v>
      </c>
      <c r="C52" s="12">
        <v>43</v>
      </c>
      <c r="D52" s="12">
        <v>1705</v>
      </c>
      <c r="F52" s="5">
        <v>44320</v>
      </c>
      <c r="G52" s="12">
        <v>742</v>
      </c>
      <c r="H52" s="12">
        <v>266</v>
      </c>
      <c r="I52" s="12">
        <v>1008</v>
      </c>
      <c r="K52" s="5">
        <v>43592</v>
      </c>
      <c r="L52" s="5">
        <v>44320</v>
      </c>
      <c r="M52" s="12">
        <v>-128</v>
      </c>
      <c r="N52" s="12">
        <v>-15</v>
      </c>
      <c r="O52" s="12">
        <v>-143</v>
      </c>
      <c r="P52" s="9">
        <v>-0.14712643678160919</v>
      </c>
      <c r="Q52" s="9">
        <v>-5.3380782918149516E-2</v>
      </c>
      <c r="R52" s="13">
        <v>-0.12423979148566466</v>
      </c>
    </row>
    <row r="53" spans="1:18" x14ac:dyDescent="0.2">
      <c r="A53" s="5">
        <v>43590</v>
      </c>
      <c r="B53" s="12">
        <v>1116</v>
      </c>
      <c r="C53" s="12">
        <v>9</v>
      </c>
      <c r="D53" s="12">
        <v>1125</v>
      </c>
      <c r="F53" s="5">
        <v>44321</v>
      </c>
      <c r="G53" s="12">
        <v>756</v>
      </c>
      <c r="H53" s="12">
        <v>316</v>
      </c>
      <c r="I53" s="12">
        <v>1072</v>
      </c>
      <c r="K53" s="5">
        <v>43593</v>
      </c>
      <c r="L53" s="5">
        <v>44321</v>
      </c>
      <c r="M53" s="12">
        <v>-122</v>
      </c>
      <c r="N53" s="12">
        <v>38</v>
      </c>
      <c r="O53" s="12">
        <v>-84</v>
      </c>
      <c r="P53" s="9">
        <v>-0.13895216400911159</v>
      </c>
      <c r="Q53" s="9">
        <v>0.13669064748201443</v>
      </c>
      <c r="R53" s="13">
        <v>-7.2664359861591699E-2</v>
      </c>
    </row>
    <row r="54" spans="1:18" x14ac:dyDescent="0.2">
      <c r="A54" s="5">
        <v>43591</v>
      </c>
      <c r="B54" s="12">
        <v>921</v>
      </c>
      <c r="C54" s="12">
        <v>194</v>
      </c>
      <c r="D54" s="12">
        <v>1115</v>
      </c>
      <c r="F54" s="5">
        <v>44322</v>
      </c>
      <c r="G54" s="12">
        <v>848</v>
      </c>
      <c r="H54" s="12">
        <v>281</v>
      </c>
      <c r="I54" s="12">
        <v>1129</v>
      </c>
      <c r="K54" s="5">
        <v>43594</v>
      </c>
      <c r="L54" s="5">
        <v>44322</v>
      </c>
      <c r="M54" s="12">
        <v>-182</v>
      </c>
      <c r="N54" s="12">
        <v>12</v>
      </c>
      <c r="O54" s="12">
        <v>-170</v>
      </c>
      <c r="P54" s="9">
        <v>-0.1766990291262136</v>
      </c>
      <c r="Q54" s="9">
        <v>4.4609665427509215E-2</v>
      </c>
      <c r="R54" s="13">
        <v>-0.13086989992301767</v>
      </c>
    </row>
    <row r="55" spans="1:18" x14ac:dyDescent="0.2">
      <c r="A55" s="5">
        <v>43592</v>
      </c>
      <c r="B55" s="12">
        <v>870</v>
      </c>
      <c r="C55" s="12">
        <v>281</v>
      </c>
      <c r="D55" s="12">
        <v>1151</v>
      </c>
      <c r="F55" s="5">
        <v>44323</v>
      </c>
      <c r="G55" s="12">
        <v>1303</v>
      </c>
      <c r="H55" s="12">
        <v>247</v>
      </c>
      <c r="I55" s="12">
        <v>1550</v>
      </c>
      <c r="K55" s="5">
        <v>43595</v>
      </c>
      <c r="L55" s="5">
        <v>44323</v>
      </c>
      <c r="M55" s="12">
        <v>-458</v>
      </c>
      <c r="N55" s="12">
        <v>16</v>
      </c>
      <c r="O55" s="12">
        <v>-442</v>
      </c>
      <c r="P55" s="9">
        <v>-0.26007950028392957</v>
      </c>
      <c r="Q55" s="9">
        <v>6.9264069264069361E-2</v>
      </c>
      <c r="R55" s="13">
        <v>-0.2218875502008032</v>
      </c>
    </row>
    <row r="56" spans="1:18" x14ac:dyDescent="0.2">
      <c r="A56" s="5">
        <v>43593</v>
      </c>
      <c r="B56" s="12">
        <v>878</v>
      </c>
      <c r="C56" s="12">
        <v>278</v>
      </c>
      <c r="D56" s="12">
        <v>1156</v>
      </c>
      <c r="F56" s="5">
        <v>44324</v>
      </c>
      <c r="G56" s="12">
        <v>1025</v>
      </c>
      <c r="H56" s="12">
        <v>28</v>
      </c>
      <c r="I56" s="12">
        <v>1053</v>
      </c>
      <c r="K56" s="5">
        <v>43596</v>
      </c>
      <c r="L56" s="5">
        <v>44324</v>
      </c>
      <c r="M56" s="12">
        <v>-324</v>
      </c>
      <c r="N56" s="12">
        <v>-16</v>
      </c>
      <c r="O56" s="12">
        <v>-340</v>
      </c>
      <c r="P56" s="9">
        <v>-0.24017790956263896</v>
      </c>
      <c r="Q56" s="9">
        <v>-0.36363636363636365</v>
      </c>
      <c r="R56" s="13">
        <v>-0.24407753050969128</v>
      </c>
    </row>
    <row r="57" spans="1:18" x14ac:dyDescent="0.2">
      <c r="A57" s="5">
        <v>43594</v>
      </c>
      <c r="B57" s="12">
        <v>1030</v>
      </c>
      <c r="C57" s="12">
        <v>269</v>
      </c>
      <c r="D57" s="12">
        <v>1299</v>
      </c>
      <c r="F57" s="5">
        <v>44325</v>
      </c>
      <c r="G57" s="12">
        <v>796</v>
      </c>
      <c r="H57" s="12">
        <v>2</v>
      </c>
      <c r="I57" s="12">
        <v>798</v>
      </c>
      <c r="K57" s="5">
        <v>43597</v>
      </c>
      <c r="L57" s="5">
        <v>44325</v>
      </c>
      <c r="M57" s="12">
        <v>-522</v>
      </c>
      <c r="N57" s="12">
        <v>-10</v>
      </c>
      <c r="O57" s="12">
        <v>-532</v>
      </c>
      <c r="P57" s="9">
        <v>-0.39605462822458271</v>
      </c>
      <c r="Q57" s="9">
        <v>-0.83333333333333337</v>
      </c>
      <c r="R57" s="13">
        <v>-0.4</v>
      </c>
    </row>
    <row r="58" spans="1:18" x14ac:dyDescent="0.2">
      <c r="A58" s="5">
        <v>43595</v>
      </c>
      <c r="B58" s="12">
        <v>1761</v>
      </c>
      <c r="C58" s="12">
        <v>231</v>
      </c>
      <c r="D58" s="12">
        <v>1992</v>
      </c>
      <c r="F58" s="5">
        <v>44326</v>
      </c>
      <c r="G58" s="12">
        <v>695</v>
      </c>
      <c r="H58" s="12">
        <v>193</v>
      </c>
      <c r="I58" s="12">
        <v>888</v>
      </c>
      <c r="K58" s="5">
        <v>43598</v>
      </c>
      <c r="L58" s="5">
        <v>44326</v>
      </c>
      <c r="M58" s="12">
        <v>-409</v>
      </c>
      <c r="N58" s="12">
        <v>-44</v>
      </c>
      <c r="O58" s="12">
        <v>-453</v>
      </c>
      <c r="P58" s="9">
        <v>-0.37047101449275366</v>
      </c>
      <c r="Q58" s="9">
        <v>-0.18565400843881852</v>
      </c>
      <c r="R58" s="13">
        <v>-0.3378076062639821</v>
      </c>
    </row>
    <row r="59" spans="1:18" x14ac:dyDescent="0.2">
      <c r="A59" s="5">
        <v>43596</v>
      </c>
      <c r="B59" s="12">
        <v>1349</v>
      </c>
      <c r="C59" s="12">
        <v>44</v>
      </c>
      <c r="D59" s="12">
        <v>1393</v>
      </c>
      <c r="F59" s="5">
        <v>44327</v>
      </c>
      <c r="G59" s="12">
        <v>813</v>
      </c>
      <c r="H59" s="12">
        <v>263</v>
      </c>
      <c r="I59" s="12">
        <v>1076</v>
      </c>
      <c r="K59" s="5">
        <v>43599</v>
      </c>
      <c r="L59" s="5">
        <v>44327</v>
      </c>
      <c r="M59" s="12">
        <v>-110</v>
      </c>
      <c r="N59" s="12">
        <v>4</v>
      </c>
      <c r="O59" s="12">
        <v>-106</v>
      </c>
      <c r="P59" s="9">
        <v>-0.11917659804983749</v>
      </c>
      <c r="Q59" s="9">
        <v>1.5444015444015413E-2</v>
      </c>
      <c r="R59" s="13">
        <v>-8.9678510998307925E-2</v>
      </c>
    </row>
    <row r="60" spans="1:18" x14ac:dyDescent="0.2">
      <c r="A60" s="5">
        <v>43597</v>
      </c>
      <c r="B60" s="12">
        <v>1318</v>
      </c>
      <c r="C60" s="12">
        <v>12</v>
      </c>
      <c r="D60" s="12">
        <v>1330</v>
      </c>
      <c r="F60" s="5">
        <v>44328</v>
      </c>
      <c r="G60" s="12">
        <v>2031</v>
      </c>
      <c r="H60" s="12">
        <v>372</v>
      </c>
      <c r="I60" s="12">
        <v>2403</v>
      </c>
      <c r="K60" s="5">
        <v>43600</v>
      </c>
      <c r="L60" s="5">
        <v>44328</v>
      </c>
      <c r="M60" s="12">
        <v>1086</v>
      </c>
      <c r="N60" s="12">
        <v>73</v>
      </c>
      <c r="O60" s="12">
        <v>1159</v>
      </c>
      <c r="P60" s="9">
        <v>1.1492063492063491</v>
      </c>
      <c r="Q60" s="9">
        <v>0.24414715719063551</v>
      </c>
      <c r="R60" s="13">
        <v>0.93167202572347274</v>
      </c>
    </row>
    <row r="61" spans="1:18" x14ac:dyDescent="0.2">
      <c r="A61" s="5">
        <v>43598</v>
      </c>
      <c r="B61" s="12">
        <v>1104</v>
      </c>
      <c r="C61" s="12">
        <v>237</v>
      </c>
      <c r="D61" s="12">
        <v>1341</v>
      </c>
      <c r="F61" s="5">
        <v>44329</v>
      </c>
      <c r="G61" s="12">
        <v>1519</v>
      </c>
      <c r="H61" s="12">
        <v>14</v>
      </c>
      <c r="I61" s="12">
        <v>1533</v>
      </c>
      <c r="K61" s="5">
        <v>43601</v>
      </c>
      <c r="L61" s="5">
        <v>44329</v>
      </c>
      <c r="M61" s="12">
        <v>512</v>
      </c>
      <c r="N61" s="12">
        <v>-273</v>
      </c>
      <c r="O61" s="12">
        <v>239</v>
      </c>
      <c r="P61" s="9">
        <v>0.50844091360476673</v>
      </c>
      <c r="Q61" s="9">
        <v>-0.95121951219512191</v>
      </c>
      <c r="R61" s="13">
        <v>0.18469860896445134</v>
      </c>
    </row>
    <row r="62" spans="1:18" x14ac:dyDescent="0.2">
      <c r="A62" s="5">
        <v>43599</v>
      </c>
      <c r="B62" s="12">
        <v>923</v>
      </c>
      <c r="C62" s="12">
        <v>259</v>
      </c>
      <c r="D62" s="12">
        <v>1182</v>
      </c>
      <c r="F62" s="5">
        <v>44330</v>
      </c>
      <c r="G62" s="12">
        <v>1144</v>
      </c>
      <c r="H62" s="12">
        <v>175</v>
      </c>
      <c r="I62" s="12">
        <v>1319</v>
      </c>
      <c r="K62" s="5">
        <v>43602</v>
      </c>
      <c r="L62" s="5">
        <v>44330</v>
      </c>
      <c r="M62" s="12">
        <v>-514</v>
      </c>
      <c r="N62" s="12">
        <v>-65</v>
      </c>
      <c r="O62" s="12">
        <v>-579</v>
      </c>
      <c r="P62" s="9">
        <v>-0.3100120627261761</v>
      </c>
      <c r="Q62" s="9">
        <v>-0.27083333333333337</v>
      </c>
      <c r="R62" s="13">
        <v>-0.3050579557428873</v>
      </c>
    </row>
    <row r="63" spans="1:18" x14ac:dyDescent="0.2">
      <c r="A63" s="5">
        <v>43600</v>
      </c>
      <c r="B63" s="12">
        <v>945</v>
      </c>
      <c r="C63" s="12">
        <v>299</v>
      </c>
      <c r="D63" s="12">
        <v>1244</v>
      </c>
      <c r="F63" s="5">
        <v>44331</v>
      </c>
      <c r="G63" s="12">
        <v>875</v>
      </c>
      <c r="H63" s="12">
        <v>60</v>
      </c>
      <c r="I63" s="12">
        <v>935</v>
      </c>
      <c r="K63" s="5">
        <v>43603</v>
      </c>
      <c r="L63" s="5">
        <v>44331</v>
      </c>
      <c r="M63" s="12">
        <v>-433</v>
      </c>
      <c r="N63" s="12">
        <v>22</v>
      </c>
      <c r="O63" s="12">
        <v>-411</v>
      </c>
      <c r="P63" s="9">
        <v>-0.33103975535168195</v>
      </c>
      <c r="Q63" s="9">
        <v>0.57894736842105265</v>
      </c>
      <c r="R63" s="13">
        <v>-0.30534918276374445</v>
      </c>
    </row>
    <row r="64" spans="1:18" x14ac:dyDescent="0.2">
      <c r="A64" s="5">
        <v>43601</v>
      </c>
      <c r="B64" s="12">
        <v>1007</v>
      </c>
      <c r="C64" s="12">
        <v>287</v>
      </c>
      <c r="D64" s="12">
        <v>1294</v>
      </c>
      <c r="F64" s="5">
        <v>44332</v>
      </c>
      <c r="G64" s="12">
        <v>848</v>
      </c>
      <c r="H64" s="12">
        <v>10</v>
      </c>
      <c r="I64" s="12">
        <v>858</v>
      </c>
      <c r="K64" s="5">
        <v>43604</v>
      </c>
      <c r="L64" s="5">
        <v>44332</v>
      </c>
      <c r="M64" s="12">
        <v>-214</v>
      </c>
      <c r="N64" s="12">
        <v>5</v>
      </c>
      <c r="O64" s="12">
        <v>-209</v>
      </c>
      <c r="P64" s="9">
        <v>-0.20150659133709981</v>
      </c>
      <c r="Q64" s="9">
        <v>1</v>
      </c>
      <c r="R64" s="13">
        <v>-0.19587628865979378</v>
      </c>
    </row>
    <row r="65" spans="1:18" x14ac:dyDescent="0.2">
      <c r="A65" s="5">
        <v>43602</v>
      </c>
      <c r="B65" s="12">
        <v>1658</v>
      </c>
      <c r="C65" s="12">
        <v>240</v>
      </c>
      <c r="D65" s="12">
        <v>1898</v>
      </c>
      <c r="F65" s="5">
        <v>44333</v>
      </c>
      <c r="G65" s="12">
        <v>829</v>
      </c>
      <c r="H65" s="12">
        <v>218</v>
      </c>
      <c r="I65" s="12">
        <v>1047</v>
      </c>
      <c r="K65" s="5">
        <v>43605</v>
      </c>
      <c r="L65" s="5">
        <v>44333</v>
      </c>
      <c r="M65" s="12">
        <v>70</v>
      </c>
      <c r="N65" s="12">
        <v>15</v>
      </c>
      <c r="O65" s="12">
        <v>85</v>
      </c>
      <c r="P65" s="9">
        <v>9.2226613965744386E-2</v>
      </c>
      <c r="Q65" s="9">
        <v>7.3891625615763568E-2</v>
      </c>
      <c r="R65" s="13">
        <v>8.8357588357588446E-2</v>
      </c>
    </row>
    <row r="66" spans="1:18" x14ac:dyDescent="0.2">
      <c r="A66" s="5">
        <v>43603</v>
      </c>
      <c r="B66" s="12">
        <v>1308</v>
      </c>
      <c r="C66" s="12">
        <v>38</v>
      </c>
      <c r="D66" s="12">
        <v>1346</v>
      </c>
      <c r="F66" s="5">
        <v>44334</v>
      </c>
      <c r="G66" s="12">
        <v>836</v>
      </c>
      <c r="H66" s="12">
        <v>288</v>
      </c>
      <c r="I66" s="12">
        <v>1124</v>
      </c>
      <c r="K66" s="5">
        <v>43606</v>
      </c>
      <c r="L66" s="5">
        <v>44334</v>
      </c>
      <c r="M66" s="12">
        <v>-56</v>
      </c>
      <c r="N66" s="12">
        <v>50</v>
      </c>
      <c r="O66" s="12">
        <v>-6</v>
      </c>
      <c r="P66" s="9">
        <v>-6.2780269058295923E-2</v>
      </c>
      <c r="Q66" s="9">
        <v>0.2100840336134453</v>
      </c>
      <c r="R66" s="13">
        <v>-5.3097345132743223E-3</v>
      </c>
    </row>
    <row r="67" spans="1:18" x14ac:dyDescent="0.2">
      <c r="A67" s="5">
        <v>43604</v>
      </c>
      <c r="B67" s="12">
        <v>1062</v>
      </c>
      <c r="C67" s="12">
        <v>5</v>
      </c>
      <c r="D67" s="12">
        <v>1067</v>
      </c>
      <c r="F67" s="5">
        <v>44335</v>
      </c>
      <c r="G67" s="12">
        <v>1010</v>
      </c>
      <c r="H67" s="12">
        <v>267</v>
      </c>
      <c r="I67" s="12">
        <v>1277</v>
      </c>
      <c r="K67" s="5">
        <v>43607</v>
      </c>
      <c r="L67" s="5">
        <v>44335</v>
      </c>
      <c r="M67" s="12">
        <v>31</v>
      </c>
      <c r="N67" s="12">
        <v>3</v>
      </c>
      <c r="O67" s="12">
        <v>34</v>
      </c>
      <c r="P67" s="9">
        <v>3.1664964249233929E-2</v>
      </c>
      <c r="Q67" s="9">
        <v>1.1363636363636465E-2</v>
      </c>
      <c r="R67" s="13">
        <v>2.7353177795655714E-2</v>
      </c>
    </row>
    <row r="68" spans="1:18" x14ac:dyDescent="0.2">
      <c r="A68" s="5">
        <v>43605</v>
      </c>
      <c r="B68" s="12">
        <v>759</v>
      </c>
      <c r="C68" s="12">
        <v>203</v>
      </c>
      <c r="D68" s="12">
        <v>962</v>
      </c>
      <c r="F68" s="5">
        <v>44336</v>
      </c>
      <c r="G68" s="12">
        <v>1041</v>
      </c>
      <c r="H68" s="12">
        <v>315</v>
      </c>
      <c r="I68" s="12">
        <v>1356</v>
      </c>
      <c r="K68" s="5">
        <v>43608</v>
      </c>
      <c r="L68" s="5">
        <v>44336</v>
      </c>
      <c r="M68" s="12">
        <v>-99</v>
      </c>
      <c r="N68" s="12">
        <v>60</v>
      </c>
      <c r="O68" s="12">
        <v>-39</v>
      </c>
      <c r="P68" s="9">
        <v>-8.6842105263157943E-2</v>
      </c>
      <c r="Q68" s="9">
        <v>0.23529411764705888</v>
      </c>
      <c r="R68" s="13">
        <v>-2.7956989247311825E-2</v>
      </c>
    </row>
    <row r="69" spans="1:18" x14ac:dyDescent="0.2">
      <c r="A69" s="5">
        <v>43606</v>
      </c>
      <c r="B69" s="12">
        <v>892</v>
      </c>
      <c r="C69" s="12">
        <v>238</v>
      </c>
      <c r="D69" s="12">
        <v>1130</v>
      </c>
      <c r="F69" s="5">
        <v>44337</v>
      </c>
      <c r="G69" s="12">
        <v>1939</v>
      </c>
      <c r="H69" s="12">
        <v>245</v>
      </c>
      <c r="I69" s="12">
        <v>2184</v>
      </c>
      <c r="K69" s="5">
        <v>43609</v>
      </c>
      <c r="L69" s="5">
        <v>44337</v>
      </c>
      <c r="M69" s="12">
        <v>-47</v>
      </c>
      <c r="N69" s="12">
        <v>33</v>
      </c>
      <c r="O69" s="12">
        <v>-14</v>
      </c>
      <c r="P69" s="9">
        <v>-2.3665659617321255E-2</v>
      </c>
      <c r="Q69" s="9">
        <v>0.15566037735849059</v>
      </c>
      <c r="R69" s="13">
        <v>-6.3694267515923553E-3</v>
      </c>
    </row>
    <row r="70" spans="1:18" x14ac:dyDescent="0.2">
      <c r="A70" s="5">
        <v>43607</v>
      </c>
      <c r="B70" s="12">
        <v>979</v>
      </c>
      <c r="C70" s="12">
        <v>264</v>
      </c>
      <c r="D70" s="12">
        <v>1243</v>
      </c>
      <c r="F70" s="5">
        <v>44338</v>
      </c>
      <c r="G70" s="12">
        <v>1549</v>
      </c>
      <c r="H70" s="12">
        <v>62</v>
      </c>
      <c r="I70" s="12">
        <v>1611</v>
      </c>
      <c r="K70" s="5">
        <v>43610</v>
      </c>
      <c r="L70" s="5">
        <v>44338</v>
      </c>
      <c r="M70" s="12">
        <v>-145</v>
      </c>
      <c r="N70" s="12">
        <v>28</v>
      </c>
      <c r="O70" s="12">
        <v>-117</v>
      </c>
      <c r="P70" s="9">
        <v>-8.5596221959858276E-2</v>
      </c>
      <c r="Q70" s="9">
        <v>0.82352941176470584</v>
      </c>
      <c r="R70" s="13">
        <v>-6.770833333333337E-2</v>
      </c>
    </row>
    <row r="71" spans="1:18" x14ac:dyDescent="0.2">
      <c r="A71" s="5">
        <v>43608</v>
      </c>
      <c r="B71" s="12">
        <v>1140</v>
      </c>
      <c r="C71" s="12">
        <v>255</v>
      </c>
      <c r="D71" s="12">
        <v>1395</v>
      </c>
      <c r="F71" s="5">
        <v>44339</v>
      </c>
      <c r="G71" s="12">
        <v>1057</v>
      </c>
      <c r="H71" s="12">
        <v>10</v>
      </c>
      <c r="I71" s="12">
        <v>1067</v>
      </c>
      <c r="K71" s="5">
        <v>43611</v>
      </c>
      <c r="L71" s="5">
        <v>44339</v>
      </c>
      <c r="M71" s="12">
        <v>-402</v>
      </c>
      <c r="N71" s="12">
        <v>3</v>
      </c>
      <c r="O71" s="12">
        <v>-399</v>
      </c>
      <c r="P71" s="9">
        <v>-0.27553118574366009</v>
      </c>
      <c r="Q71" s="9">
        <v>0.4285714285714286</v>
      </c>
      <c r="R71" s="13">
        <v>-0.27216916780354705</v>
      </c>
    </row>
    <row r="72" spans="1:18" x14ac:dyDescent="0.2">
      <c r="A72" s="5">
        <v>43609</v>
      </c>
      <c r="B72" s="12">
        <v>1986</v>
      </c>
      <c r="C72" s="12">
        <v>212</v>
      </c>
      <c r="D72" s="12">
        <v>2198</v>
      </c>
      <c r="F72" s="5">
        <v>44340</v>
      </c>
      <c r="G72" s="12">
        <v>717</v>
      </c>
      <c r="H72" s="12">
        <v>64</v>
      </c>
      <c r="I72" s="12">
        <v>781</v>
      </c>
      <c r="K72" s="5">
        <v>43612</v>
      </c>
      <c r="L72" s="5">
        <v>44340</v>
      </c>
      <c r="M72" s="12">
        <v>-280</v>
      </c>
      <c r="N72" s="12">
        <v>-157</v>
      </c>
      <c r="O72" s="12">
        <v>-437</v>
      </c>
      <c r="P72" s="9">
        <v>-0.28084252758274819</v>
      </c>
      <c r="Q72" s="9">
        <v>-0.71040723981900444</v>
      </c>
      <c r="R72" s="13">
        <v>-0.35878489326765184</v>
      </c>
    </row>
    <row r="73" spans="1:18" x14ac:dyDescent="0.2">
      <c r="A73" s="5">
        <v>43610</v>
      </c>
      <c r="B73" s="12">
        <v>1694</v>
      </c>
      <c r="C73" s="12">
        <v>34</v>
      </c>
      <c r="D73" s="12">
        <v>1728</v>
      </c>
      <c r="F73" s="5">
        <v>44341</v>
      </c>
      <c r="G73" s="12">
        <v>980</v>
      </c>
      <c r="H73" s="12">
        <v>313</v>
      </c>
      <c r="I73" s="12">
        <v>1293</v>
      </c>
      <c r="K73" s="5">
        <v>43613</v>
      </c>
      <c r="L73" s="5">
        <v>44341</v>
      </c>
      <c r="M73" s="12">
        <v>-62</v>
      </c>
      <c r="N73" s="12">
        <v>65</v>
      </c>
      <c r="O73" s="12">
        <v>3</v>
      </c>
      <c r="P73" s="9">
        <v>-5.9500959692898259E-2</v>
      </c>
      <c r="Q73" s="9">
        <v>0.26209677419354849</v>
      </c>
      <c r="R73" s="13">
        <v>2.3255813953488857E-3</v>
      </c>
    </row>
    <row r="74" spans="1:18" x14ac:dyDescent="0.2">
      <c r="A74" s="5">
        <v>43611</v>
      </c>
      <c r="B74" s="12">
        <v>1459</v>
      </c>
      <c r="C74" s="12">
        <v>7</v>
      </c>
      <c r="D74" s="12">
        <v>1466</v>
      </c>
      <c r="F74" s="5">
        <v>44342</v>
      </c>
      <c r="G74" s="12">
        <v>1020</v>
      </c>
      <c r="H74" s="12">
        <v>310</v>
      </c>
      <c r="I74" s="12">
        <v>1330</v>
      </c>
      <c r="K74" s="5">
        <v>43614</v>
      </c>
      <c r="L74" s="5">
        <v>44342</v>
      </c>
      <c r="M74" s="12">
        <v>-2929</v>
      </c>
      <c r="N74" s="12">
        <v>-68</v>
      </c>
      <c r="O74" s="12">
        <v>-2997</v>
      </c>
      <c r="P74" s="9">
        <v>-0.74170676120536849</v>
      </c>
      <c r="Q74" s="9">
        <v>-0.17989417989417988</v>
      </c>
      <c r="R74" s="13">
        <v>-0.6926276866189045</v>
      </c>
    </row>
    <row r="75" spans="1:18" x14ac:dyDescent="0.2">
      <c r="A75" s="5">
        <v>43612</v>
      </c>
      <c r="B75" s="12">
        <v>997</v>
      </c>
      <c r="C75" s="12">
        <v>221</v>
      </c>
      <c r="D75" s="12">
        <v>1218</v>
      </c>
      <c r="F75" s="5">
        <v>44343</v>
      </c>
      <c r="G75" s="12">
        <v>1020</v>
      </c>
      <c r="H75" s="12">
        <v>289</v>
      </c>
      <c r="I75" s="12">
        <v>1309</v>
      </c>
      <c r="K75" s="5">
        <v>43615</v>
      </c>
      <c r="L75" s="5">
        <v>44343</v>
      </c>
      <c r="M75" s="12">
        <v>-4639</v>
      </c>
      <c r="N75" s="12">
        <v>260</v>
      </c>
      <c r="O75" s="12">
        <v>-4379</v>
      </c>
      <c r="P75" s="9">
        <v>-0.81975614066089419</v>
      </c>
      <c r="Q75" s="9">
        <v>8.9655172413793096</v>
      </c>
      <c r="R75" s="13">
        <v>-0.76986638537271446</v>
      </c>
    </row>
    <row r="76" spans="1:18" x14ac:dyDescent="0.2">
      <c r="A76" s="5">
        <v>43613</v>
      </c>
      <c r="B76" s="12">
        <v>1042</v>
      </c>
      <c r="C76" s="12">
        <v>248</v>
      </c>
      <c r="D76" s="12">
        <v>1290</v>
      </c>
      <c r="F76" s="5">
        <v>44344</v>
      </c>
      <c r="G76" s="12">
        <v>1664</v>
      </c>
      <c r="H76" s="12">
        <v>226</v>
      </c>
      <c r="I76" s="12">
        <v>1890</v>
      </c>
      <c r="K76" s="5">
        <v>43616</v>
      </c>
      <c r="L76" s="5">
        <v>44344</v>
      </c>
      <c r="M76" s="12">
        <v>-735</v>
      </c>
      <c r="N76" s="12">
        <v>51</v>
      </c>
      <c r="O76" s="12">
        <v>-684</v>
      </c>
      <c r="P76" s="9">
        <v>-0.30637765735723221</v>
      </c>
      <c r="Q76" s="9">
        <v>0.29142857142857137</v>
      </c>
      <c r="R76" s="13">
        <v>-0.26573426573426573</v>
      </c>
    </row>
    <row r="77" spans="1:18" x14ac:dyDescent="0.2">
      <c r="A77" s="5">
        <v>43614</v>
      </c>
      <c r="B77" s="12">
        <v>3949</v>
      </c>
      <c r="C77" s="12">
        <v>378</v>
      </c>
      <c r="D77" s="12">
        <v>4327</v>
      </c>
      <c r="F77" s="5">
        <v>44345</v>
      </c>
      <c r="G77" s="12">
        <v>1249</v>
      </c>
      <c r="H77" s="12">
        <v>59</v>
      </c>
      <c r="I77" s="12">
        <v>1308</v>
      </c>
      <c r="K77" s="5">
        <v>43617</v>
      </c>
      <c r="L77" s="5">
        <v>44345</v>
      </c>
      <c r="M77" s="12">
        <v>-916</v>
      </c>
      <c r="N77" s="12">
        <v>14</v>
      </c>
      <c r="O77" s="12">
        <v>-902</v>
      </c>
      <c r="P77" s="9">
        <v>-0.42309468822170904</v>
      </c>
      <c r="Q77" s="9">
        <v>0.31111111111111112</v>
      </c>
      <c r="R77" s="13">
        <v>-0.40814479638009049</v>
      </c>
    </row>
    <row r="78" spans="1:18" x14ac:dyDescent="0.2">
      <c r="A78" s="5">
        <v>43615</v>
      </c>
      <c r="B78" s="12">
        <v>5659</v>
      </c>
      <c r="C78" s="12">
        <v>29</v>
      </c>
      <c r="D78" s="12">
        <v>5688</v>
      </c>
      <c r="F78" s="5">
        <v>44346</v>
      </c>
      <c r="G78" s="12">
        <v>1170</v>
      </c>
      <c r="H78" s="12">
        <v>6</v>
      </c>
      <c r="I78" s="12">
        <v>1176</v>
      </c>
      <c r="K78" s="5">
        <v>43618</v>
      </c>
      <c r="L78" s="5">
        <v>44346</v>
      </c>
      <c r="M78" s="12">
        <v>-800</v>
      </c>
      <c r="N78" s="12">
        <v>-11</v>
      </c>
      <c r="O78" s="12">
        <v>-811</v>
      </c>
      <c r="P78" s="9">
        <v>-0.40609137055837563</v>
      </c>
      <c r="Q78" s="9">
        <v>-0.64705882352941169</v>
      </c>
      <c r="R78" s="13">
        <v>-0.40815299446401609</v>
      </c>
    </row>
    <row r="79" spans="1:18" x14ac:dyDescent="0.2">
      <c r="A79" s="5">
        <v>43616</v>
      </c>
      <c r="B79" s="12">
        <v>2399</v>
      </c>
      <c r="C79" s="12">
        <v>175</v>
      </c>
      <c r="D79" s="12">
        <v>2574</v>
      </c>
      <c r="F79" s="5">
        <v>44347</v>
      </c>
      <c r="G79" s="12">
        <v>974</v>
      </c>
      <c r="H79" s="12">
        <v>221</v>
      </c>
      <c r="I79" s="12">
        <v>1195</v>
      </c>
      <c r="K79" s="5">
        <v>43619</v>
      </c>
      <c r="L79" s="5">
        <v>44347</v>
      </c>
      <c r="M79" s="12">
        <f t="shared" ref="M79:O79" si="2">G79-B82</f>
        <v>-71</v>
      </c>
      <c r="N79" s="12">
        <f t="shared" si="2"/>
        <v>-19</v>
      </c>
      <c r="O79" s="12">
        <f t="shared" si="2"/>
        <v>-90</v>
      </c>
      <c r="P79" s="9">
        <f t="shared" ref="P79:R79" si="3">G79/B82-1</f>
        <v>-6.7942583732057416E-2</v>
      </c>
      <c r="Q79" s="9">
        <f t="shared" si="3"/>
        <v>-7.9166666666666718E-2</v>
      </c>
      <c r="R79" s="13">
        <f t="shared" si="3"/>
        <v>-7.0038910505836549E-2</v>
      </c>
    </row>
    <row r="80" spans="1:18" x14ac:dyDescent="0.2">
      <c r="A80" s="5">
        <v>43617</v>
      </c>
      <c r="B80" s="12">
        <v>2165</v>
      </c>
      <c r="C80" s="12">
        <v>45</v>
      </c>
      <c r="D80" s="12">
        <v>2210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">
      <c r="A81" s="5">
        <v>43618</v>
      </c>
      <c r="B81" s="12">
        <v>1970</v>
      </c>
      <c r="C81" s="12">
        <v>17</v>
      </c>
      <c r="D81" s="12">
        <v>1987</v>
      </c>
      <c r="F81" s="5"/>
      <c r="G81" s="12"/>
      <c r="H81" s="12"/>
      <c r="I81" s="12"/>
      <c r="K81" s="5"/>
      <c r="L81" s="5"/>
      <c r="M81" s="12"/>
      <c r="N81" s="12"/>
      <c r="O81" s="12"/>
      <c r="P81" s="9"/>
      <c r="Q81" s="9"/>
      <c r="R81" s="13"/>
    </row>
    <row r="82" spans="1:18" x14ac:dyDescent="0.2">
      <c r="A82" s="5">
        <v>43619</v>
      </c>
      <c r="B82" s="12">
        <v>1045</v>
      </c>
      <c r="C82" s="12">
        <v>240</v>
      </c>
      <c r="D82" s="12">
        <v>1285</v>
      </c>
      <c r="F82" s="5"/>
      <c r="G82" s="12"/>
      <c r="H82" s="12"/>
      <c r="I82" s="12"/>
      <c r="K82" s="5"/>
      <c r="L82" s="5"/>
      <c r="M82" s="12"/>
      <c r="N82" s="12"/>
      <c r="O82" s="12"/>
      <c r="P82" s="9"/>
      <c r="Q82" s="9"/>
      <c r="R82" s="13"/>
    </row>
    <row r="83" spans="1:18" x14ac:dyDescent="0.2">
      <c r="A83" s="5"/>
      <c r="B83" s="2"/>
      <c r="C83" s="2"/>
      <c r="D83" s="2"/>
      <c r="F83" s="5"/>
      <c r="G83" s="2"/>
      <c r="H83" s="2"/>
      <c r="I83" s="2"/>
      <c r="L83" s="5"/>
      <c r="M83" s="2"/>
      <c r="N83" s="2"/>
      <c r="O83" s="2"/>
      <c r="P83" s="2"/>
      <c r="Q83" s="2"/>
      <c r="R83" s="14"/>
    </row>
    <row r="84" spans="1:18" x14ac:dyDescent="0.2">
      <c r="B84" s="2"/>
      <c r="C84" s="2"/>
      <c r="G84" s="2"/>
      <c r="H84" s="2"/>
    </row>
    <row r="85" spans="1:18" x14ac:dyDescent="0.2">
      <c r="A85" s="26" t="s">
        <v>22</v>
      </c>
      <c r="B85" s="6"/>
      <c r="C85" s="6"/>
      <c r="D85" s="3"/>
      <c r="F85" s="26" t="s">
        <v>22</v>
      </c>
      <c r="G85" s="6"/>
      <c r="H85" s="6"/>
      <c r="I85" s="3"/>
      <c r="K85" s="26" t="s">
        <v>23</v>
      </c>
      <c r="L85" s="26"/>
      <c r="M85" s="6"/>
      <c r="N85" s="6"/>
      <c r="O85" s="3"/>
      <c r="P85" s="6"/>
      <c r="Q85" s="6"/>
      <c r="R85" s="3"/>
    </row>
    <row r="86" spans="1:18" ht="32.450000000000003" customHeight="1" x14ac:dyDescent="0.2">
      <c r="A86" s="27"/>
      <c r="B86" s="8" t="s">
        <v>38</v>
      </c>
      <c r="C86" s="4" t="s">
        <v>2</v>
      </c>
      <c r="D86" s="4" t="s">
        <v>0</v>
      </c>
      <c r="F86" s="27"/>
      <c r="G86" s="8" t="s">
        <v>38</v>
      </c>
      <c r="H86" s="4" t="s">
        <v>2</v>
      </c>
      <c r="I86" s="4" t="s">
        <v>0</v>
      </c>
      <c r="K86" s="27"/>
      <c r="L86" s="27"/>
      <c r="M86" s="8" t="s">
        <v>38</v>
      </c>
      <c r="N86" s="4" t="s">
        <v>2</v>
      </c>
      <c r="O86" s="4" t="s">
        <v>0</v>
      </c>
      <c r="P86" s="8" t="s">
        <v>38</v>
      </c>
      <c r="Q86" s="4" t="s">
        <v>2</v>
      </c>
      <c r="R86" s="4" t="s">
        <v>0</v>
      </c>
    </row>
    <row r="87" spans="1:18" x14ac:dyDescent="0.2">
      <c r="A87" s="5">
        <v>43586</v>
      </c>
      <c r="B87" s="12">
        <v>1102</v>
      </c>
      <c r="C87" s="12">
        <v>59</v>
      </c>
      <c r="D87" s="12">
        <v>1161</v>
      </c>
      <c r="F87" s="5">
        <v>44317</v>
      </c>
      <c r="G87" s="12">
        <v>498</v>
      </c>
      <c r="H87" s="12">
        <v>16</v>
      </c>
      <c r="I87" s="12">
        <v>514</v>
      </c>
      <c r="K87" s="5">
        <v>43589</v>
      </c>
      <c r="L87" s="5">
        <v>44317</v>
      </c>
      <c r="M87" s="12">
        <v>-855</v>
      </c>
      <c r="N87" s="12">
        <v>-12</v>
      </c>
      <c r="O87" s="12">
        <v>-867</v>
      </c>
      <c r="P87" s="9">
        <v>-0.63192904656319293</v>
      </c>
      <c r="Q87" s="9">
        <v>-0.4285714285714286</v>
      </c>
      <c r="R87" s="13">
        <v>-0.62780593772628523</v>
      </c>
    </row>
    <row r="88" spans="1:18" x14ac:dyDescent="0.2">
      <c r="A88" s="5">
        <v>43587</v>
      </c>
      <c r="B88" s="12">
        <v>958</v>
      </c>
      <c r="C88" s="12">
        <v>206</v>
      </c>
      <c r="D88" s="12">
        <v>1164</v>
      </c>
      <c r="F88" s="5">
        <v>44318</v>
      </c>
      <c r="G88" s="12">
        <v>962</v>
      </c>
      <c r="H88" s="12">
        <v>8</v>
      </c>
      <c r="I88" s="12">
        <v>970</v>
      </c>
      <c r="K88" s="5">
        <v>43590</v>
      </c>
      <c r="L88" s="5">
        <v>44318</v>
      </c>
      <c r="M88" s="12">
        <v>-886</v>
      </c>
      <c r="N88" s="12">
        <v>-7</v>
      </c>
      <c r="O88" s="12">
        <v>-893</v>
      </c>
      <c r="P88" s="9">
        <v>-0.47943722943722944</v>
      </c>
      <c r="Q88" s="9">
        <v>-0.46666666666666667</v>
      </c>
      <c r="R88" s="13">
        <v>-0.47933440687063877</v>
      </c>
    </row>
    <row r="89" spans="1:18" x14ac:dyDescent="0.2">
      <c r="A89" s="5">
        <v>43588</v>
      </c>
      <c r="B89" s="12">
        <v>1053</v>
      </c>
      <c r="C89" s="12">
        <v>169</v>
      </c>
      <c r="D89" s="12">
        <v>1222</v>
      </c>
      <c r="F89" s="5">
        <v>44319</v>
      </c>
      <c r="G89" s="12">
        <v>923</v>
      </c>
      <c r="H89" s="12">
        <v>178</v>
      </c>
      <c r="I89" s="12">
        <v>1101</v>
      </c>
      <c r="K89" s="5">
        <v>43591</v>
      </c>
      <c r="L89" s="5">
        <v>44319</v>
      </c>
      <c r="M89" s="12">
        <v>-137</v>
      </c>
      <c r="N89" s="12">
        <v>-27</v>
      </c>
      <c r="O89" s="12">
        <v>-164</v>
      </c>
      <c r="P89" s="9">
        <v>-0.12924528301886795</v>
      </c>
      <c r="Q89" s="9">
        <v>-0.13170731707317074</v>
      </c>
      <c r="R89" s="13">
        <v>-0.12964426877470359</v>
      </c>
    </row>
    <row r="90" spans="1:18" x14ac:dyDescent="0.2">
      <c r="A90" s="5">
        <v>43589</v>
      </c>
      <c r="B90" s="12">
        <v>1353</v>
      </c>
      <c r="C90" s="12">
        <v>28</v>
      </c>
      <c r="D90" s="12">
        <v>1381</v>
      </c>
      <c r="F90" s="5">
        <v>44320</v>
      </c>
      <c r="G90" s="12">
        <v>724</v>
      </c>
      <c r="H90" s="12">
        <v>182</v>
      </c>
      <c r="I90" s="12">
        <v>906</v>
      </c>
      <c r="K90" s="5">
        <v>43592</v>
      </c>
      <c r="L90" s="5">
        <v>44320</v>
      </c>
      <c r="M90" s="12">
        <v>-190</v>
      </c>
      <c r="N90" s="12">
        <v>-8</v>
      </c>
      <c r="O90" s="12">
        <v>-198</v>
      </c>
      <c r="P90" s="9">
        <v>-0.20787746170678334</v>
      </c>
      <c r="Q90" s="9">
        <v>-4.2105263157894757E-2</v>
      </c>
      <c r="R90" s="13">
        <v>-0.17934782608695654</v>
      </c>
    </row>
    <row r="91" spans="1:18" x14ac:dyDescent="0.2">
      <c r="A91" s="5">
        <v>43590</v>
      </c>
      <c r="B91" s="12">
        <v>1848</v>
      </c>
      <c r="C91" s="12">
        <v>15</v>
      </c>
      <c r="D91" s="12">
        <v>1863</v>
      </c>
      <c r="F91" s="5">
        <v>44321</v>
      </c>
      <c r="G91" s="12">
        <v>655</v>
      </c>
      <c r="H91" s="12">
        <v>190</v>
      </c>
      <c r="I91" s="12">
        <v>845</v>
      </c>
      <c r="K91" s="5">
        <v>43593</v>
      </c>
      <c r="L91" s="5">
        <v>44321</v>
      </c>
      <c r="M91" s="12">
        <v>-121</v>
      </c>
      <c r="N91" s="12">
        <v>-11</v>
      </c>
      <c r="O91" s="12">
        <v>-132</v>
      </c>
      <c r="P91" s="9">
        <v>-0.15592783505154639</v>
      </c>
      <c r="Q91" s="9">
        <v>-5.4726368159203953E-2</v>
      </c>
      <c r="R91" s="13">
        <v>-0.13510747185261007</v>
      </c>
    </row>
    <row r="92" spans="1:18" x14ac:dyDescent="0.2">
      <c r="A92" s="5">
        <v>43591</v>
      </c>
      <c r="B92" s="12">
        <v>1060</v>
      </c>
      <c r="C92" s="12">
        <v>205</v>
      </c>
      <c r="D92" s="12">
        <v>1265</v>
      </c>
      <c r="F92" s="5">
        <v>44322</v>
      </c>
      <c r="G92" s="12">
        <v>700</v>
      </c>
      <c r="H92" s="12">
        <v>190</v>
      </c>
      <c r="I92" s="12">
        <v>890</v>
      </c>
      <c r="K92" s="5">
        <v>43594</v>
      </c>
      <c r="L92" s="5">
        <v>44322</v>
      </c>
      <c r="M92" s="12">
        <v>-156</v>
      </c>
      <c r="N92" s="12">
        <v>-1</v>
      </c>
      <c r="O92" s="12">
        <v>-157</v>
      </c>
      <c r="P92" s="9">
        <v>-0.18224299065420557</v>
      </c>
      <c r="Q92" s="9">
        <v>-5.2356020942407877E-3</v>
      </c>
      <c r="R92" s="13">
        <v>-0.14995224450811839</v>
      </c>
    </row>
    <row r="93" spans="1:18" x14ac:dyDescent="0.2">
      <c r="A93" s="5">
        <v>43592</v>
      </c>
      <c r="B93" s="12">
        <v>914</v>
      </c>
      <c r="C93" s="12">
        <v>190</v>
      </c>
      <c r="D93" s="12">
        <v>1104</v>
      </c>
      <c r="F93" s="5">
        <v>44323</v>
      </c>
      <c r="G93" s="12">
        <v>780</v>
      </c>
      <c r="H93" s="12">
        <v>117</v>
      </c>
      <c r="I93" s="12">
        <v>897</v>
      </c>
      <c r="K93" s="5">
        <v>43595</v>
      </c>
      <c r="L93" s="5">
        <v>44323</v>
      </c>
      <c r="M93" s="12">
        <v>-328</v>
      </c>
      <c r="N93" s="12">
        <v>-22</v>
      </c>
      <c r="O93" s="12">
        <v>-350</v>
      </c>
      <c r="P93" s="9">
        <v>-0.29602888086642598</v>
      </c>
      <c r="Q93" s="9">
        <v>-0.15827338129496404</v>
      </c>
      <c r="R93" s="13">
        <v>-0.2806736166800321</v>
      </c>
    </row>
    <row r="94" spans="1:18" x14ac:dyDescent="0.2">
      <c r="A94" s="5">
        <v>43593</v>
      </c>
      <c r="B94" s="12">
        <v>776</v>
      </c>
      <c r="C94" s="12">
        <v>201</v>
      </c>
      <c r="D94" s="12">
        <v>977</v>
      </c>
      <c r="F94" s="5">
        <v>44324</v>
      </c>
      <c r="G94" s="12">
        <v>779</v>
      </c>
      <c r="H94" s="12">
        <v>27</v>
      </c>
      <c r="I94" s="12">
        <v>806</v>
      </c>
      <c r="K94" s="5">
        <v>43596</v>
      </c>
      <c r="L94" s="5">
        <v>44324</v>
      </c>
      <c r="M94" s="12">
        <v>-553</v>
      </c>
      <c r="N94" s="12">
        <v>-3</v>
      </c>
      <c r="O94" s="12">
        <v>-556</v>
      </c>
      <c r="P94" s="9">
        <v>-0.41516516516516522</v>
      </c>
      <c r="Q94" s="9">
        <v>-9.9999999999999978E-2</v>
      </c>
      <c r="R94" s="13">
        <v>-0.40822320117474298</v>
      </c>
    </row>
    <row r="95" spans="1:18" x14ac:dyDescent="0.2">
      <c r="A95" s="5">
        <v>43594</v>
      </c>
      <c r="B95" s="12">
        <v>856</v>
      </c>
      <c r="C95" s="12">
        <v>191</v>
      </c>
      <c r="D95" s="12">
        <v>1047</v>
      </c>
      <c r="F95" s="5">
        <v>44325</v>
      </c>
      <c r="G95" s="12">
        <v>1195</v>
      </c>
      <c r="H95" s="12">
        <v>11</v>
      </c>
      <c r="I95" s="12">
        <v>1206</v>
      </c>
      <c r="K95" s="5">
        <v>43597</v>
      </c>
      <c r="L95" s="5">
        <v>44325</v>
      </c>
      <c r="M95" s="12">
        <v>-1214</v>
      </c>
      <c r="N95" s="12">
        <v>-16</v>
      </c>
      <c r="O95" s="12">
        <v>-1230</v>
      </c>
      <c r="P95" s="9">
        <v>-0.50394354503943539</v>
      </c>
      <c r="Q95" s="9">
        <v>-0.59259259259259256</v>
      </c>
      <c r="R95" s="13">
        <v>-0.50492610837438423</v>
      </c>
    </row>
    <row r="96" spans="1:18" x14ac:dyDescent="0.2">
      <c r="A96" s="5">
        <v>43595</v>
      </c>
      <c r="B96" s="12">
        <v>1108</v>
      </c>
      <c r="C96" s="12">
        <v>139</v>
      </c>
      <c r="D96" s="12">
        <v>1247</v>
      </c>
      <c r="F96" s="5">
        <v>44326</v>
      </c>
      <c r="G96" s="12">
        <v>825</v>
      </c>
      <c r="H96" s="12">
        <v>209</v>
      </c>
      <c r="I96" s="12">
        <v>1034</v>
      </c>
      <c r="K96" s="5">
        <v>43598</v>
      </c>
      <c r="L96" s="5">
        <v>44326</v>
      </c>
      <c r="M96" s="12">
        <v>-407</v>
      </c>
      <c r="N96" s="12">
        <v>-22</v>
      </c>
      <c r="O96" s="12">
        <v>-429</v>
      </c>
      <c r="P96" s="9">
        <v>-0.3303571428571429</v>
      </c>
      <c r="Q96" s="9">
        <v>-9.5238095238095233E-2</v>
      </c>
      <c r="R96" s="13">
        <v>-0.29323308270676696</v>
      </c>
    </row>
    <row r="97" spans="1:18" x14ac:dyDescent="0.2">
      <c r="A97" s="5">
        <v>43596</v>
      </c>
      <c r="B97" s="12">
        <v>1332</v>
      </c>
      <c r="C97" s="12">
        <v>30</v>
      </c>
      <c r="D97" s="12">
        <v>1362</v>
      </c>
      <c r="F97" s="5">
        <v>44327</v>
      </c>
      <c r="G97" s="12">
        <v>609</v>
      </c>
      <c r="H97" s="12">
        <v>171</v>
      </c>
      <c r="I97" s="12">
        <v>780</v>
      </c>
      <c r="K97" s="5">
        <v>43599</v>
      </c>
      <c r="L97" s="5">
        <v>44327</v>
      </c>
      <c r="M97" s="12">
        <v>-305</v>
      </c>
      <c r="N97" s="12">
        <v>-13</v>
      </c>
      <c r="O97" s="12">
        <v>-318</v>
      </c>
      <c r="P97" s="9">
        <v>-0.33369803063457326</v>
      </c>
      <c r="Q97" s="9">
        <v>-7.0652173913043459E-2</v>
      </c>
      <c r="R97" s="13">
        <v>-0.2896174863387978</v>
      </c>
    </row>
    <row r="98" spans="1:18" x14ac:dyDescent="0.2">
      <c r="A98" s="5">
        <v>43597</v>
      </c>
      <c r="B98" s="12">
        <v>2409</v>
      </c>
      <c r="C98" s="12">
        <v>27</v>
      </c>
      <c r="D98" s="12">
        <v>2436</v>
      </c>
      <c r="F98" s="5">
        <v>44328</v>
      </c>
      <c r="G98" s="12">
        <v>762</v>
      </c>
      <c r="H98" s="12">
        <v>150</v>
      </c>
      <c r="I98" s="12">
        <v>912</v>
      </c>
      <c r="K98" s="5">
        <v>43600</v>
      </c>
      <c r="L98" s="5">
        <v>44328</v>
      </c>
      <c r="M98" s="12">
        <v>-168</v>
      </c>
      <c r="N98" s="12">
        <v>-33</v>
      </c>
      <c r="O98" s="12">
        <v>-201</v>
      </c>
      <c r="P98" s="9">
        <v>-0.1806451612903226</v>
      </c>
      <c r="Q98" s="9">
        <v>-0.18032786885245899</v>
      </c>
      <c r="R98" s="13">
        <v>-0.18059299191374667</v>
      </c>
    </row>
    <row r="99" spans="1:18" x14ac:dyDescent="0.2">
      <c r="A99" s="5">
        <v>43598</v>
      </c>
      <c r="B99" s="12">
        <v>1232</v>
      </c>
      <c r="C99" s="12">
        <v>231</v>
      </c>
      <c r="D99" s="12">
        <v>1463</v>
      </c>
      <c r="F99" s="5">
        <v>44329</v>
      </c>
      <c r="G99" s="12">
        <v>789</v>
      </c>
      <c r="H99" s="12">
        <v>9</v>
      </c>
      <c r="I99" s="12">
        <v>798</v>
      </c>
      <c r="K99" s="5">
        <v>43601</v>
      </c>
      <c r="L99" s="5">
        <v>44329</v>
      </c>
      <c r="M99" s="12">
        <v>-267</v>
      </c>
      <c r="N99" s="12">
        <v>-176</v>
      </c>
      <c r="O99" s="12">
        <v>-443</v>
      </c>
      <c r="P99" s="9">
        <v>-0.25284090909090906</v>
      </c>
      <c r="Q99" s="9">
        <v>-0.9513513513513514</v>
      </c>
      <c r="R99" s="13">
        <v>-0.35697018533440772</v>
      </c>
    </row>
    <row r="100" spans="1:18" x14ac:dyDescent="0.2">
      <c r="A100" s="5">
        <v>43599</v>
      </c>
      <c r="B100" s="12">
        <v>914</v>
      </c>
      <c r="C100" s="12">
        <v>184</v>
      </c>
      <c r="D100" s="12">
        <v>1098</v>
      </c>
      <c r="F100" s="5">
        <v>44330</v>
      </c>
      <c r="G100" s="12">
        <v>910</v>
      </c>
      <c r="H100" s="12">
        <v>161</v>
      </c>
      <c r="I100" s="12">
        <v>1071</v>
      </c>
      <c r="K100" s="5">
        <v>43602</v>
      </c>
      <c r="L100" s="5">
        <v>44330</v>
      </c>
      <c r="M100" s="12">
        <v>-145</v>
      </c>
      <c r="N100" s="12">
        <v>23</v>
      </c>
      <c r="O100" s="12">
        <v>-122</v>
      </c>
      <c r="P100" s="9">
        <v>-0.13744075829383884</v>
      </c>
      <c r="Q100" s="9">
        <v>0.16666666666666674</v>
      </c>
      <c r="R100" s="13">
        <v>-0.10226320201173511</v>
      </c>
    </row>
    <row r="101" spans="1:18" x14ac:dyDescent="0.2">
      <c r="A101" s="5">
        <v>43600</v>
      </c>
      <c r="B101" s="12">
        <v>930</v>
      </c>
      <c r="C101" s="12">
        <v>183</v>
      </c>
      <c r="D101" s="12">
        <v>1113</v>
      </c>
      <c r="F101" s="5">
        <v>44331</v>
      </c>
      <c r="G101" s="12">
        <v>1007</v>
      </c>
      <c r="H101" s="12">
        <v>35</v>
      </c>
      <c r="I101" s="12">
        <v>1042</v>
      </c>
      <c r="K101" s="5">
        <v>43603</v>
      </c>
      <c r="L101" s="5">
        <v>44331</v>
      </c>
      <c r="M101" s="12">
        <v>-198</v>
      </c>
      <c r="N101" s="12">
        <v>9</v>
      </c>
      <c r="O101" s="12">
        <v>-189</v>
      </c>
      <c r="P101" s="9">
        <v>-0.16431535269709541</v>
      </c>
      <c r="Q101" s="9">
        <v>0.34615384615384626</v>
      </c>
      <c r="R101" s="13">
        <v>-0.15353371242891956</v>
      </c>
    </row>
    <row r="102" spans="1:18" x14ac:dyDescent="0.2">
      <c r="A102" s="5">
        <v>43601</v>
      </c>
      <c r="B102" s="12">
        <v>1056</v>
      </c>
      <c r="C102" s="12">
        <v>185</v>
      </c>
      <c r="D102" s="12">
        <v>1241</v>
      </c>
      <c r="F102" s="5">
        <v>44332</v>
      </c>
      <c r="G102" s="12">
        <v>2647</v>
      </c>
      <c r="H102" s="12">
        <v>10</v>
      </c>
      <c r="I102" s="12">
        <v>2657</v>
      </c>
      <c r="K102" s="5">
        <v>43604</v>
      </c>
      <c r="L102" s="5">
        <v>44332</v>
      </c>
      <c r="M102" s="12">
        <v>1002</v>
      </c>
      <c r="N102" s="12">
        <v>-2</v>
      </c>
      <c r="O102" s="12">
        <v>1000</v>
      </c>
      <c r="P102" s="9">
        <v>0.60911854103343455</v>
      </c>
      <c r="Q102" s="9">
        <v>-0.16666666666666663</v>
      </c>
      <c r="R102" s="13">
        <v>0.60350030175015079</v>
      </c>
    </row>
    <row r="103" spans="1:18" x14ac:dyDescent="0.2">
      <c r="A103" s="5">
        <v>43602</v>
      </c>
      <c r="B103" s="12">
        <v>1055</v>
      </c>
      <c r="C103" s="12">
        <v>138</v>
      </c>
      <c r="D103" s="12">
        <v>1193</v>
      </c>
      <c r="F103" s="5">
        <v>44333</v>
      </c>
      <c r="G103" s="12">
        <v>1116</v>
      </c>
      <c r="H103" s="12">
        <v>185</v>
      </c>
      <c r="I103" s="12">
        <v>1301</v>
      </c>
      <c r="K103" s="5">
        <v>43605</v>
      </c>
      <c r="L103" s="5">
        <v>44333</v>
      </c>
      <c r="M103" s="12">
        <v>184</v>
      </c>
      <c r="N103" s="12">
        <v>-24</v>
      </c>
      <c r="O103" s="12">
        <v>160</v>
      </c>
      <c r="P103" s="9">
        <v>0.19742489270386265</v>
      </c>
      <c r="Q103" s="9">
        <v>-0.11483253588516751</v>
      </c>
      <c r="R103" s="13">
        <v>0.1402278702892199</v>
      </c>
    </row>
    <row r="104" spans="1:18" x14ac:dyDescent="0.2">
      <c r="A104" s="5">
        <v>43603</v>
      </c>
      <c r="B104" s="12">
        <v>1205</v>
      </c>
      <c r="C104" s="12">
        <v>26</v>
      </c>
      <c r="D104" s="12">
        <v>1231</v>
      </c>
      <c r="F104" s="5">
        <v>44334</v>
      </c>
      <c r="G104" s="12">
        <v>841</v>
      </c>
      <c r="H104" s="12">
        <v>201</v>
      </c>
      <c r="I104" s="12">
        <v>1042</v>
      </c>
      <c r="K104" s="5">
        <v>43606</v>
      </c>
      <c r="L104" s="5">
        <v>44334</v>
      </c>
      <c r="M104" s="12">
        <v>71</v>
      </c>
      <c r="N104" s="12">
        <v>44</v>
      </c>
      <c r="O104" s="12">
        <v>115</v>
      </c>
      <c r="P104" s="9">
        <v>9.2207792207792183E-2</v>
      </c>
      <c r="Q104" s="9">
        <v>0.28025477707006363</v>
      </c>
      <c r="R104" s="13">
        <v>0.12405609492988123</v>
      </c>
    </row>
    <row r="105" spans="1:18" x14ac:dyDescent="0.2">
      <c r="A105" s="5">
        <v>43604</v>
      </c>
      <c r="B105" s="12">
        <v>1645</v>
      </c>
      <c r="C105" s="12">
        <v>12</v>
      </c>
      <c r="D105" s="12">
        <v>1657</v>
      </c>
      <c r="F105" s="5">
        <v>44335</v>
      </c>
      <c r="G105" s="12">
        <v>800</v>
      </c>
      <c r="H105" s="12">
        <v>149</v>
      </c>
      <c r="I105" s="12">
        <v>949</v>
      </c>
      <c r="K105" s="5">
        <v>43607</v>
      </c>
      <c r="L105" s="5">
        <v>44335</v>
      </c>
      <c r="M105" s="12">
        <v>-82</v>
      </c>
      <c r="N105" s="12">
        <v>-23</v>
      </c>
      <c r="O105" s="12">
        <v>-105</v>
      </c>
      <c r="P105" s="9">
        <v>-9.2970521541950069E-2</v>
      </c>
      <c r="Q105" s="9">
        <v>-0.13372093023255816</v>
      </c>
      <c r="R105" s="13">
        <v>-9.9620493358633766E-2</v>
      </c>
    </row>
    <row r="106" spans="1:18" x14ac:dyDescent="0.2">
      <c r="A106" s="5">
        <v>43605</v>
      </c>
      <c r="B106" s="12">
        <v>932</v>
      </c>
      <c r="C106" s="12">
        <v>209</v>
      </c>
      <c r="D106" s="12">
        <v>1141</v>
      </c>
      <c r="F106" s="5">
        <v>44336</v>
      </c>
      <c r="G106" s="12">
        <v>838</v>
      </c>
      <c r="H106" s="12">
        <v>164</v>
      </c>
      <c r="I106" s="12">
        <v>1002</v>
      </c>
      <c r="K106" s="5">
        <v>43608</v>
      </c>
      <c r="L106" s="5">
        <v>44336</v>
      </c>
      <c r="M106" s="12">
        <v>-166</v>
      </c>
      <c r="N106" s="12">
        <v>-11</v>
      </c>
      <c r="O106" s="12">
        <v>-177</v>
      </c>
      <c r="P106" s="9">
        <v>-0.16533864541832666</v>
      </c>
      <c r="Q106" s="9">
        <v>-6.2857142857142834E-2</v>
      </c>
      <c r="R106" s="13">
        <v>-0.15012722646310428</v>
      </c>
    </row>
    <row r="107" spans="1:18" x14ac:dyDescent="0.2">
      <c r="A107" s="5">
        <v>43606</v>
      </c>
      <c r="B107" s="12">
        <v>770</v>
      </c>
      <c r="C107" s="12">
        <v>157</v>
      </c>
      <c r="D107" s="12">
        <v>927</v>
      </c>
      <c r="F107" s="5">
        <v>44337</v>
      </c>
      <c r="G107" s="12">
        <v>936</v>
      </c>
      <c r="H107" s="12">
        <v>142</v>
      </c>
      <c r="I107" s="12">
        <v>1078</v>
      </c>
      <c r="K107" s="5">
        <v>43609</v>
      </c>
      <c r="L107" s="5">
        <v>44337</v>
      </c>
      <c r="M107" s="12">
        <v>-183</v>
      </c>
      <c r="N107" s="12">
        <v>17</v>
      </c>
      <c r="O107" s="12">
        <v>-166</v>
      </c>
      <c r="P107" s="9">
        <v>-0.16353887399463807</v>
      </c>
      <c r="Q107" s="9">
        <v>0.1359999999999999</v>
      </c>
      <c r="R107" s="13">
        <v>-0.13344051446945338</v>
      </c>
    </row>
    <row r="108" spans="1:18" x14ac:dyDescent="0.2">
      <c r="A108" s="5">
        <v>43607</v>
      </c>
      <c r="B108" s="12">
        <v>882</v>
      </c>
      <c r="C108" s="12">
        <v>172</v>
      </c>
      <c r="D108" s="12">
        <v>1054</v>
      </c>
      <c r="F108" s="5">
        <v>44338</v>
      </c>
      <c r="G108" s="12">
        <v>941</v>
      </c>
      <c r="H108" s="12">
        <v>26</v>
      </c>
      <c r="I108" s="12">
        <v>967</v>
      </c>
      <c r="K108" s="5">
        <v>43610</v>
      </c>
      <c r="L108" s="5">
        <v>44338</v>
      </c>
      <c r="M108" s="12">
        <v>-361</v>
      </c>
      <c r="N108" s="12">
        <v>0</v>
      </c>
      <c r="O108" s="12">
        <v>-361</v>
      </c>
      <c r="P108" s="9">
        <v>-0.27726574500768053</v>
      </c>
      <c r="Q108" s="9">
        <v>0</v>
      </c>
      <c r="R108" s="13">
        <v>-0.27183734939759041</v>
      </c>
    </row>
    <row r="109" spans="1:18" x14ac:dyDescent="0.2">
      <c r="A109" s="5">
        <v>43608</v>
      </c>
      <c r="B109" s="12">
        <v>1004</v>
      </c>
      <c r="C109" s="12">
        <v>175</v>
      </c>
      <c r="D109" s="12">
        <v>1179</v>
      </c>
      <c r="F109" s="5">
        <v>44339</v>
      </c>
      <c r="G109" s="12">
        <v>1352</v>
      </c>
      <c r="H109" s="12">
        <v>11</v>
      </c>
      <c r="I109" s="12">
        <v>1363</v>
      </c>
      <c r="K109" s="5">
        <v>43611</v>
      </c>
      <c r="L109" s="5">
        <v>44339</v>
      </c>
      <c r="M109" s="12">
        <v>-728</v>
      </c>
      <c r="N109" s="12">
        <v>2</v>
      </c>
      <c r="O109" s="12">
        <v>-726</v>
      </c>
      <c r="P109" s="9">
        <v>-0.35</v>
      </c>
      <c r="Q109" s="9">
        <v>0.22222222222222232</v>
      </c>
      <c r="R109" s="13">
        <v>-0.34753470560076594</v>
      </c>
    </row>
    <row r="110" spans="1:18" x14ac:dyDescent="0.2">
      <c r="A110" s="5">
        <v>43609</v>
      </c>
      <c r="B110" s="12">
        <v>1119</v>
      </c>
      <c r="C110" s="12">
        <v>125</v>
      </c>
      <c r="D110" s="12">
        <v>1244</v>
      </c>
      <c r="F110" s="5">
        <v>44340</v>
      </c>
      <c r="G110" s="12">
        <v>2254</v>
      </c>
      <c r="H110" s="12">
        <v>114</v>
      </c>
      <c r="I110" s="12">
        <v>2368</v>
      </c>
      <c r="K110" s="5">
        <v>43612</v>
      </c>
      <c r="L110" s="5">
        <v>44340</v>
      </c>
      <c r="M110" s="12">
        <v>1195</v>
      </c>
      <c r="N110" s="12">
        <v>-79</v>
      </c>
      <c r="O110" s="12">
        <v>1116</v>
      </c>
      <c r="P110" s="9">
        <v>1.1284230406043436</v>
      </c>
      <c r="Q110" s="9">
        <v>-0.40932642487046633</v>
      </c>
      <c r="R110" s="13">
        <v>0.89137380191693283</v>
      </c>
    </row>
    <row r="111" spans="1:18" x14ac:dyDescent="0.2">
      <c r="A111" s="5">
        <v>43610</v>
      </c>
      <c r="B111" s="12">
        <v>1302</v>
      </c>
      <c r="C111" s="12">
        <v>26</v>
      </c>
      <c r="D111" s="12">
        <v>1328</v>
      </c>
      <c r="F111" s="5">
        <v>44341</v>
      </c>
      <c r="G111" s="12">
        <v>922</v>
      </c>
      <c r="H111" s="12">
        <v>204</v>
      </c>
      <c r="I111" s="12">
        <v>1126</v>
      </c>
      <c r="K111" s="5">
        <v>43613</v>
      </c>
      <c r="L111" s="5">
        <v>44341</v>
      </c>
      <c r="M111" s="12">
        <v>159</v>
      </c>
      <c r="N111" s="12">
        <v>14</v>
      </c>
      <c r="O111" s="12">
        <v>173</v>
      </c>
      <c r="P111" s="9">
        <v>0.20838794233289648</v>
      </c>
      <c r="Q111" s="9">
        <v>7.3684210526315796E-2</v>
      </c>
      <c r="R111" s="13">
        <v>0.18153200419727167</v>
      </c>
    </row>
    <row r="112" spans="1:18" x14ac:dyDescent="0.2">
      <c r="A112" s="5">
        <v>43611</v>
      </c>
      <c r="B112" s="12">
        <v>2080</v>
      </c>
      <c r="C112" s="12">
        <v>9</v>
      </c>
      <c r="D112" s="12">
        <v>2089</v>
      </c>
      <c r="F112" s="5">
        <v>44342</v>
      </c>
      <c r="G112" s="12">
        <v>708</v>
      </c>
      <c r="H112" s="12">
        <v>128</v>
      </c>
      <c r="I112" s="12">
        <v>836</v>
      </c>
      <c r="K112" s="5">
        <v>43614</v>
      </c>
      <c r="L112" s="5">
        <v>44342</v>
      </c>
      <c r="M112" s="12">
        <v>-197</v>
      </c>
      <c r="N112" s="12">
        <v>-33</v>
      </c>
      <c r="O112" s="12">
        <v>-230</v>
      </c>
      <c r="P112" s="9">
        <v>-0.21767955801104977</v>
      </c>
      <c r="Q112" s="9">
        <v>-0.20496894409937894</v>
      </c>
      <c r="R112" s="13">
        <v>-0.21575984990619135</v>
      </c>
    </row>
    <row r="113" spans="1:18" x14ac:dyDescent="0.2">
      <c r="A113" s="5">
        <v>43612</v>
      </c>
      <c r="B113" s="12">
        <v>1059</v>
      </c>
      <c r="C113" s="12">
        <v>193</v>
      </c>
      <c r="D113" s="12">
        <v>1252</v>
      </c>
      <c r="F113" s="5">
        <v>44343</v>
      </c>
      <c r="G113" s="12">
        <v>881</v>
      </c>
      <c r="H113" s="12">
        <v>185</v>
      </c>
      <c r="I113" s="12">
        <v>1066</v>
      </c>
      <c r="K113" s="5">
        <v>43615</v>
      </c>
      <c r="L113" s="5">
        <v>44343</v>
      </c>
      <c r="M113" s="12">
        <v>-1041</v>
      </c>
      <c r="N113" s="12">
        <v>176</v>
      </c>
      <c r="O113" s="12">
        <v>-865</v>
      </c>
      <c r="P113" s="9">
        <v>-0.54162330905306977</v>
      </c>
      <c r="Q113" s="9">
        <v>19.555555555555557</v>
      </c>
      <c r="R113" s="13">
        <v>-0.4479544277576385</v>
      </c>
    </row>
    <row r="114" spans="1:18" x14ac:dyDescent="0.2">
      <c r="A114" s="5">
        <v>43613</v>
      </c>
      <c r="B114" s="12">
        <v>763</v>
      </c>
      <c r="C114" s="12">
        <v>190</v>
      </c>
      <c r="D114" s="12">
        <v>953</v>
      </c>
      <c r="F114" s="5">
        <v>44344</v>
      </c>
      <c r="G114" s="12">
        <v>1115</v>
      </c>
      <c r="H114" s="12">
        <v>123</v>
      </c>
      <c r="I114" s="12">
        <v>1238</v>
      </c>
      <c r="K114" s="5">
        <v>43616</v>
      </c>
      <c r="L114" s="5">
        <v>44344</v>
      </c>
      <c r="M114" s="12">
        <v>-630</v>
      </c>
      <c r="N114" s="12">
        <v>-15</v>
      </c>
      <c r="O114" s="12">
        <v>-645</v>
      </c>
      <c r="P114" s="9">
        <v>-0.36103151862464178</v>
      </c>
      <c r="Q114" s="9">
        <v>-0.10869565217391308</v>
      </c>
      <c r="R114" s="13">
        <v>-0.34253850238980355</v>
      </c>
    </row>
    <row r="115" spans="1:18" x14ac:dyDescent="0.2">
      <c r="A115" s="5">
        <v>43614</v>
      </c>
      <c r="B115" s="12">
        <v>905</v>
      </c>
      <c r="C115" s="12">
        <v>161</v>
      </c>
      <c r="D115" s="12">
        <v>1066</v>
      </c>
      <c r="F115" s="5">
        <v>44345</v>
      </c>
      <c r="G115" s="12">
        <v>1115</v>
      </c>
      <c r="H115" s="12">
        <v>26</v>
      </c>
      <c r="I115" s="12">
        <v>1141</v>
      </c>
      <c r="K115" s="5">
        <v>43617</v>
      </c>
      <c r="L115" s="5">
        <v>44345</v>
      </c>
      <c r="M115" s="12">
        <v>-2279</v>
      </c>
      <c r="N115" s="12">
        <v>-18</v>
      </c>
      <c r="O115" s="12">
        <v>-2297</v>
      </c>
      <c r="P115" s="9">
        <v>-0.67147908073070117</v>
      </c>
      <c r="Q115" s="9">
        <v>-0.40909090909090906</v>
      </c>
      <c r="R115" s="13">
        <v>-0.66812100058173352</v>
      </c>
    </row>
    <row r="116" spans="1:18" x14ac:dyDescent="0.2">
      <c r="A116" s="5">
        <v>43615</v>
      </c>
      <c r="B116" s="12">
        <v>1922</v>
      </c>
      <c r="C116" s="12">
        <v>9</v>
      </c>
      <c r="D116" s="12">
        <v>1931</v>
      </c>
      <c r="F116" s="5">
        <v>44346</v>
      </c>
      <c r="G116" s="12">
        <v>1856</v>
      </c>
      <c r="H116" s="12">
        <v>7</v>
      </c>
      <c r="I116" s="12">
        <v>1863</v>
      </c>
      <c r="K116" s="5">
        <v>43618</v>
      </c>
      <c r="L116" s="5">
        <v>44346</v>
      </c>
      <c r="M116" s="12">
        <v>-5691</v>
      </c>
      <c r="N116" s="12">
        <v>-55</v>
      </c>
      <c r="O116" s="12">
        <v>-5746</v>
      </c>
      <c r="P116" s="9">
        <v>-0.75407446667550015</v>
      </c>
      <c r="Q116" s="9">
        <v>-0.88709677419354838</v>
      </c>
      <c r="R116" s="13">
        <v>-0.75515836509396772</v>
      </c>
    </row>
    <row r="117" spans="1:18" x14ac:dyDescent="0.2">
      <c r="A117" s="5">
        <v>43616</v>
      </c>
      <c r="B117" s="12">
        <v>1745</v>
      </c>
      <c r="C117" s="12">
        <v>138</v>
      </c>
      <c r="D117" s="12">
        <v>1883</v>
      </c>
      <c r="F117" s="5">
        <v>44347</v>
      </c>
      <c r="G117" s="12">
        <v>1054</v>
      </c>
      <c r="H117" s="12">
        <v>174</v>
      </c>
      <c r="I117" s="12">
        <v>1228</v>
      </c>
      <c r="K117" s="5">
        <v>43619</v>
      </c>
      <c r="L117" s="5">
        <v>44347</v>
      </c>
      <c r="M117" s="12">
        <f t="shared" ref="M117:O117" si="4">G117-B120</f>
        <v>-637</v>
      </c>
      <c r="N117" s="12">
        <f t="shared" si="4"/>
        <v>-28</v>
      </c>
      <c r="O117" s="12">
        <f t="shared" si="4"/>
        <v>-665</v>
      </c>
      <c r="P117" s="9">
        <f t="shared" ref="P117:R117" si="5">G117/B120-1</f>
        <v>-0.37670017740981665</v>
      </c>
      <c r="Q117" s="9">
        <f t="shared" si="5"/>
        <v>-0.13861386138613863</v>
      </c>
      <c r="R117" s="13">
        <f t="shared" si="5"/>
        <v>-0.35129424194400427</v>
      </c>
    </row>
    <row r="118" spans="1:18" x14ac:dyDescent="0.2">
      <c r="A118" s="5">
        <v>43617</v>
      </c>
      <c r="B118" s="12">
        <v>3394</v>
      </c>
      <c r="C118" s="12">
        <v>44</v>
      </c>
      <c r="D118" s="12">
        <v>3438</v>
      </c>
      <c r="F118" s="5"/>
      <c r="G118" s="12"/>
      <c r="H118" s="12"/>
      <c r="I118" s="12"/>
      <c r="K118" s="5"/>
      <c r="L118" s="5"/>
      <c r="M118" s="12"/>
      <c r="N118" s="12"/>
      <c r="O118" s="12"/>
      <c r="P118" s="9"/>
      <c r="Q118" s="9"/>
      <c r="R118" s="13"/>
    </row>
    <row r="119" spans="1:18" x14ac:dyDescent="0.2">
      <c r="A119" s="5">
        <v>43618</v>
      </c>
      <c r="B119" s="12">
        <v>7547</v>
      </c>
      <c r="C119" s="12">
        <v>62</v>
      </c>
      <c r="D119" s="12">
        <v>7609</v>
      </c>
      <c r="F119" s="5"/>
      <c r="G119" s="12"/>
      <c r="H119" s="12"/>
      <c r="I119" s="12"/>
      <c r="K119" s="5"/>
      <c r="L119" s="5"/>
      <c r="M119" s="12"/>
      <c r="N119" s="12"/>
      <c r="O119" s="12"/>
      <c r="P119" s="9"/>
      <c r="Q119" s="9"/>
      <c r="R119" s="13"/>
    </row>
    <row r="120" spans="1:18" x14ac:dyDescent="0.2">
      <c r="A120" s="5">
        <v>43619</v>
      </c>
      <c r="B120" s="12">
        <v>1691</v>
      </c>
      <c r="C120" s="12">
        <v>202</v>
      </c>
      <c r="D120" s="12">
        <v>1893</v>
      </c>
      <c r="F120" s="5"/>
      <c r="G120" s="12"/>
      <c r="H120" s="12"/>
      <c r="I120" s="12"/>
      <c r="K120" s="5"/>
      <c r="L120" s="5"/>
      <c r="M120" s="12"/>
      <c r="N120" s="12"/>
      <c r="O120" s="12"/>
      <c r="P120" s="9"/>
      <c r="Q120" s="9"/>
      <c r="R120" s="13"/>
    </row>
    <row r="121" spans="1:18" x14ac:dyDescent="0.2">
      <c r="A121" s="5"/>
      <c r="B121" s="12"/>
      <c r="C121" s="12"/>
      <c r="D121" s="12"/>
      <c r="F121" s="5"/>
      <c r="G121" s="12"/>
      <c r="H121" s="12"/>
      <c r="I121" s="12"/>
      <c r="K121" s="5"/>
      <c r="L121" s="5"/>
      <c r="M121" s="12"/>
      <c r="N121" s="12"/>
      <c r="O121" s="12"/>
      <c r="P121" s="9"/>
      <c r="Q121" s="9"/>
      <c r="R121" s="13"/>
    </row>
  </sheetData>
  <mergeCells count="11">
    <mergeCell ref="A85:A86"/>
    <mergeCell ref="F85:F86"/>
    <mergeCell ref="K85:L86"/>
    <mergeCell ref="A47:A48"/>
    <mergeCell ref="F47:F48"/>
    <mergeCell ref="K47:L48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6"/>
  <dimension ref="A1:R121"/>
  <sheetViews>
    <sheetView zoomScale="80" zoomScaleNormal="8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140625" customWidth="1"/>
    <col min="6" max="6" width="28.5703125" bestFit="1" customWidth="1"/>
    <col min="7" max="7" width="11.85546875" customWidth="1"/>
    <col min="8" max="8" width="7.42578125" bestFit="1" customWidth="1"/>
    <col min="9" max="9" width="15.85546875" bestFit="1" customWidth="1"/>
    <col min="10" max="10" width="0.85546875" customWidth="1"/>
    <col min="11" max="12" width="24.5703125" bestFit="1" customWidth="1"/>
    <col min="13" max="13" width="11.5703125" style="10" customWidth="1"/>
    <col min="14" max="14" width="7.42578125" style="10" bestFit="1" customWidth="1"/>
    <col min="15" max="15" width="15.85546875" style="10" bestFit="1" customWidth="1"/>
    <col min="16" max="16" width="11.5703125" style="10" customWidth="1"/>
    <col min="17" max="17" width="7" style="10" bestFit="1" customWidth="1"/>
    <col min="18" max="18" width="15.85546875" style="10" bestFit="1" customWidth="1"/>
  </cols>
  <sheetData>
    <row r="1" spans="1:18" ht="15.75" x14ac:dyDescent="0.25">
      <c r="A1" s="11" t="s">
        <v>51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4" t="s">
        <v>47</v>
      </c>
      <c r="B6" s="25"/>
      <c r="C6" s="25"/>
      <c r="D6" s="25"/>
      <c r="E6" s="17"/>
      <c r="F6" s="17"/>
      <c r="G6" s="17"/>
    </row>
    <row r="7" spans="1:18" ht="15" x14ac:dyDescent="0.2">
      <c r="A7" s="24" t="s">
        <v>48</v>
      </c>
      <c r="B7" s="25"/>
      <c r="C7" s="25"/>
    </row>
    <row r="9" spans="1:18" ht="12.95" customHeight="1" x14ac:dyDescent="0.2">
      <c r="A9" s="26" t="s">
        <v>1</v>
      </c>
      <c r="B9" s="6"/>
      <c r="C9" s="6"/>
      <c r="D9" s="3"/>
      <c r="F9" s="26" t="s">
        <v>1</v>
      </c>
      <c r="G9" s="6"/>
      <c r="H9" s="6"/>
      <c r="I9" s="3"/>
      <c r="K9" s="26" t="s">
        <v>3</v>
      </c>
      <c r="L9" s="26"/>
      <c r="M9" s="6"/>
      <c r="N9" s="6"/>
      <c r="O9" s="3"/>
      <c r="P9" s="6"/>
      <c r="Q9" s="6"/>
      <c r="R9" s="3"/>
    </row>
    <row r="10" spans="1:18" ht="30.6" customHeight="1" x14ac:dyDescent="0.2">
      <c r="A10" s="27"/>
      <c r="B10" s="8" t="s">
        <v>38</v>
      </c>
      <c r="C10" s="4" t="s">
        <v>2</v>
      </c>
      <c r="D10" s="4" t="s">
        <v>0</v>
      </c>
      <c r="F10" s="27"/>
      <c r="G10" s="8" t="s">
        <v>38</v>
      </c>
      <c r="H10" s="4" t="s">
        <v>2</v>
      </c>
      <c r="I10" s="4" t="s">
        <v>0</v>
      </c>
      <c r="K10" s="27"/>
      <c r="L10" s="27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43586</v>
      </c>
      <c r="B11" s="12">
        <v>16960</v>
      </c>
      <c r="C11" s="12">
        <v>989</v>
      </c>
      <c r="D11" s="12">
        <v>17949</v>
      </c>
      <c r="F11" s="5">
        <v>44317</v>
      </c>
      <c r="G11" s="12">
        <v>14206</v>
      </c>
      <c r="H11" s="12">
        <v>361</v>
      </c>
      <c r="I11" s="12">
        <v>14567</v>
      </c>
      <c r="K11" s="5">
        <v>43589</v>
      </c>
      <c r="L11" s="5">
        <v>44317</v>
      </c>
      <c r="M11" s="22">
        <v>-6550</v>
      </c>
      <c r="N11" s="22">
        <v>-1258</v>
      </c>
      <c r="O11" s="22">
        <v>-7808</v>
      </c>
      <c r="P11" s="23">
        <v>-0.31557140104066295</v>
      </c>
      <c r="Q11" s="23">
        <v>-0.77702285361334156</v>
      </c>
      <c r="R11" s="13">
        <v>-0.3489608938547486</v>
      </c>
    </row>
    <row r="12" spans="1:18" x14ac:dyDescent="0.2">
      <c r="A12" s="5">
        <v>43587</v>
      </c>
      <c r="B12" s="12">
        <v>13945</v>
      </c>
      <c r="C12" s="12">
        <v>2954</v>
      </c>
      <c r="D12" s="12">
        <v>16899</v>
      </c>
      <c r="F12" s="5">
        <v>44318</v>
      </c>
      <c r="G12" s="12">
        <v>18104</v>
      </c>
      <c r="H12" s="12">
        <v>150</v>
      </c>
      <c r="I12" s="12">
        <v>18254</v>
      </c>
      <c r="K12" s="5">
        <v>43590</v>
      </c>
      <c r="L12" s="5">
        <v>44318</v>
      </c>
      <c r="M12" s="22">
        <v>-2551</v>
      </c>
      <c r="N12" s="22">
        <v>-289</v>
      </c>
      <c r="O12" s="22">
        <v>-2840</v>
      </c>
      <c r="P12" s="23">
        <v>-0.12350520455095615</v>
      </c>
      <c r="Q12" s="23">
        <v>-0.65831435079726652</v>
      </c>
      <c r="R12" s="13">
        <v>-0.13463544135773209</v>
      </c>
    </row>
    <row r="13" spans="1:18" x14ac:dyDescent="0.2">
      <c r="A13" s="5">
        <v>43588</v>
      </c>
      <c r="B13" s="12">
        <v>19237</v>
      </c>
      <c r="C13" s="12">
        <v>2716</v>
      </c>
      <c r="D13" s="12">
        <v>21953</v>
      </c>
      <c r="F13" s="5">
        <v>44319</v>
      </c>
      <c r="G13" s="12">
        <v>12118</v>
      </c>
      <c r="H13" s="12">
        <v>2978</v>
      </c>
      <c r="I13" s="12">
        <v>15096</v>
      </c>
      <c r="K13" s="5">
        <v>43591</v>
      </c>
      <c r="L13" s="5">
        <v>44319</v>
      </c>
      <c r="M13" s="22">
        <v>-1166</v>
      </c>
      <c r="N13" s="22">
        <v>279</v>
      </c>
      <c r="O13" s="22">
        <v>-887</v>
      </c>
      <c r="P13" s="23">
        <v>-8.7774766636555257E-2</v>
      </c>
      <c r="Q13" s="23">
        <v>0.10337161911819193</v>
      </c>
      <c r="R13" s="13">
        <v>-5.5496464994056138E-2</v>
      </c>
    </row>
    <row r="14" spans="1:18" x14ac:dyDescent="0.2">
      <c r="A14" s="5">
        <v>43589</v>
      </c>
      <c r="B14" s="12">
        <v>20756</v>
      </c>
      <c r="C14" s="12">
        <v>1619</v>
      </c>
      <c r="D14" s="12">
        <v>22375</v>
      </c>
      <c r="F14" s="5">
        <v>44320</v>
      </c>
      <c r="G14" s="12">
        <v>9956</v>
      </c>
      <c r="H14" s="12">
        <v>3196</v>
      </c>
      <c r="I14" s="12">
        <v>13152</v>
      </c>
      <c r="K14" s="5">
        <v>43592</v>
      </c>
      <c r="L14" s="5">
        <v>44320</v>
      </c>
      <c r="M14" s="22">
        <v>-532</v>
      </c>
      <c r="N14" s="22">
        <v>-3</v>
      </c>
      <c r="O14" s="22">
        <v>-535</v>
      </c>
      <c r="P14" s="23">
        <v>-5.0724637681159424E-2</v>
      </c>
      <c r="Q14" s="23">
        <v>-9.3779306033137111E-4</v>
      </c>
      <c r="R14" s="13">
        <v>-3.9088185869803449E-2</v>
      </c>
    </row>
    <row r="15" spans="1:18" x14ac:dyDescent="0.2">
      <c r="A15" s="5">
        <v>43590</v>
      </c>
      <c r="B15" s="12">
        <v>20655</v>
      </c>
      <c r="C15" s="12">
        <v>439</v>
      </c>
      <c r="D15" s="12">
        <v>21094</v>
      </c>
      <c r="F15" s="5">
        <v>44321</v>
      </c>
      <c r="G15" s="12">
        <v>10799</v>
      </c>
      <c r="H15" s="12">
        <v>3264</v>
      </c>
      <c r="I15" s="12">
        <v>14063</v>
      </c>
      <c r="K15" s="5">
        <v>43593</v>
      </c>
      <c r="L15" s="5">
        <v>44321</v>
      </c>
      <c r="M15" s="22">
        <v>-393</v>
      </c>
      <c r="N15" s="22">
        <v>29</v>
      </c>
      <c r="O15" s="22">
        <v>-364</v>
      </c>
      <c r="P15" s="23">
        <v>-3.5114367405289504E-2</v>
      </c>
      <c r="Q15" s="23">
        <v>8.9644513137558945E-3</v>
      </c>
      <c r="R15" s="13">
        <v>-2.5230470645317804E-2</v>
      </c>
    </row>
    <row r="16" spans="1:18" x14ac:dyDescent="0.2">
      <c r="A16" s="5">
        <v>43591</v>
      </c>
      <c r="B16" s="12">
        <v>13284</v>
      </c>
      <c r="C16" s="12">
        <v>2699</v>
      </c>
      <c r="D16" s="12">
        <v>15983</v>
      </c>
      <c r="F16" s="5">
        <v>44322</v>
      </c>
      <c r="G16" s="12">
        <v>12610</v>
      </c>
      <c r="H16" s="12">
        <v>3046</v>
      </c>
      <c r="I16" s="12">
        <v>15656</v>
      </c>
      <c r="K16" s="5">
        <v>43594</v>
      </c>
      <c r="L16" s="5">
        <v>44322</v>
      </c>
      <c r="M16" s="22">
        <v>29</v>
      </c>
      <c r="N16" s="22">
        <v>-94</v>
      </c>
      <c r="O16" s="22">
        <v>-65</v>
      </c>
      <c r="P16" s="23">
        <v>2.3050631905254804E-3</v>
      </c>
      <c r="Q16" s="23">
        <v>-2.993630573248407E-2</v>
      </c>
      <c r="R16" s="13">
        <v>-4.1345970358119821E-3</v>
      </c>
    </row>
    <row r="17" spans="1:18" x14ac:dyDescent="0.2">
      <c r="A17" s="5">
        <v>43592</v>
      </c>
      <c r="B17" s="12">
        <v>10488</v>
      </c>
      <c r="C17" s="12">
        <v>3199</v>
      </c>
      <c r="D17" s="12">
        <v>13687</v>
      </c>
      <c r="F17" s="5">
        <v>44323</v>
      </c>
      <c r="G17" s="12">
        <v>17035</v>
      </c>
      <c r="H17" s="12">
        <v>2546</v>
      </c>
      <c r="I17" s="12">
        <v>19581</v>
      </c>
      <c r="K17" s="5">
        <v>43595</v>
      </c>
      <c r="L17" s="5">
        <v>44323</v>
      </c>
      <c r="M17" s="22">
        <v>43</v>
      </c>
      <c r="N17" s="22">
        <v>-211</v>
      </c>
      <c r="O17" s="22">
        <v>-168</v>
      </c>
      <c r="P17" s="23">
        <v>2.5306026365348178E-3</v>
      </c>
      <c r="Q17" s="23">
        <v>-7.6532462821907843E-2</v>
      </c>
      <c r="R17" s="13">
        <v>-8.506759835941069E-3</v>
      </c>
    </row>
    <row r="18" spans="1:18" x14ac:dyDescent="0.2">
      <c r="A18" s="5">
        <v>43593</v>
      </c>
      <c r="B18" s="12">
        <v>11192</v>
      </c>
      <c r="C18" s="12">
        <v>3235</v>
      </c>
      <c r="D18" s="12">
        <v>14427</v>
      </c>
      <c r="F18" s="5">
        <v>44324</v>
      </c>
      <c r="G18" s="12">
        <v>17374</v>
      </c>
      <c r="H18" s="12">
        <v>1286</v>
      </c>
      <c r="I18" s="12">
        <v>18660</v>
      </c>
      <c r="K18" s="5">
        <v>43596</v>
      </c>
      <c r="L18" s="5">
        <v>44324</v>
      </c>
      <c r="M18" s="22">
        <v>865</v>
      </c>
      <c r="N18" s="22">
        <v>-282</v>
      </c>
      <c r="O18" s="22">
        <v>583</v>
      </c>
      <c r="P18" s="23">
        <v>5.2395662971712387E-2</v>
      </c>
      <c r="Q18" s="23">
        <v>-0.17984693877551017</v>
      </c>
      <c r="R18" s="13">
        <v>3.2250926591801843E-2</v>
      </c>
    </row>
    <row r="19" spans="1:18" x14ac:dyDescent="0.2">
      <c r="A19" s="5">
        <v>43594</v>
      </c>
      <c r="B19" s="12">
        <v>12581</v>
      </c>
      <c r="C19" s="12">
        <v>3140</v>
      </c>
      <c r="D19" s="12">
        <v>15721</v>
      </c>
      <c r="F19" s="5">
        <v>44325</v>
      </c>
      <c r="G19" s="12">
        <v>17446</v>
      </c>
      <c r="H19" s="12">
        <v>144</v>
      </c>
      <c r="I19" s="12">
        <v>17590</v>
      </c>
      <c r="K19" s="5">
        <v>43597</v>
      </c>
      <c r="L19" s="5">
        <v>44325</v>
      </c>
      <c r="M19" s="22">
        <v>-3450</v>
      </c>
      <c r="N19" s="22">
        <v>-325</v>
      </c>
      <c r="O19" s="22">
        <v>-3775</v>
      </c>
      <c r="P19" s="23">
        <v>-0.16510336906584988</v>
      </c>
      <c r="Q19" s="23">
        <v>-0.69296375266524524</v>
      </c>
      <c r="R19" s="13">
        <v>-0.17669084952024339</v>
      </c>
    </row>
    <row r="20" spans="1:18" x14ac:dyDescent="0.2">
      <c r="A20" s="5">
        <v>43595</v>
      </c>
      <c r="B20" s="12">
        <v>16992</v>
      </c>
      <c r="C20" s="12">
        <v>2757</v>
      </c>
      <c r="D20" s="12">
        <v>19749</v>
      </c>
      <c r="F20" s="5">
        <v>44326</v>
      </c>
      <c r="G20" s="12">
        <v>10385</v>
      </c>
      <c r="H20" s="12">
        <v>2753</v>
      </c>
      <c r="I20" s="12">
        <v>13138</v>
      </c>
      <c r="K20" s="5">
        <v>43598</v>
      </c>
      <c r="L20" s="5">
        <v>44326</v>
      </c>
      <c r="M20" s="12">
        <v>-2746</v>
      </c>
      <c r="N20" s="12">
        <v>267</v>
      </c>
      <c r="O20" s="12">
        <v>-2479</v>
      </c>
      <c r="P20" s="9">
        <v>-0.20912344832838325</v>
      </c>
      <c r="Q20" s="9">
        <v>0.10740144810941277</v>
      </c>
      <c r="R20" s="13">
        <v>-0.15873727348402378</v>
      </c>
    </row>
    <row r="21" spans="1:18" x14ac:dyDescent="0.2">
      <c r="A21" s="5">
        <v>43596</v>
      </c>
      <c r="B21" s="12">
        <v>16509</v>
      </c>
      <c r="C21" s="12">
        <v>1568</v>
      </c>
      <c r="D21" s="12">
        <v>18077</v>
      </c>
      <c r="F21" s="5">
        <v>44327</v>
      </c>
      <c r="G21" s="12">
        <v>9830</v>
      </c>
      <c r="H21" s="12">
        <v>3145</v>
      </c>
      <c r="I21" s="12">
        <v>12975</v>
      </c>
      <c r="K21" s="5">
        <v>43599</v>
      </c>
      <c r="L21" s="5">
        <v>44327</v>
      </c>
      <c r="M21" s="12">
        <v>-804</v>
      </c>
      <c r="N21" s="12">
        <v>-69</v>
      </c>
      <c r="O21" s="12">
        <v>-873</v>
      </c>
      <c r="P21" s="9">
        <v>-7.5606545044197837E-2</v>
      </c>
      <c r="Q21" s="9">
        <v>-2.1468574984443101E-2</v>
      </c>
      <c r="R21" s="13">
        <v>-6.3041594454072758E-2</v>
      </c>
    </row>
    <row r="22" spans="1:18" x14ac:dyDescent="0.2">
      <c r="A22" s="5">
        <v>43597</v>
      </c>
      <c r="B22" s="12">
        <v>20896</v>
      </c>
      <c r="C22" s="12">
        <v>469</v>
      </c>
      <c r="D22" s="12">
        <v>21365</v>
      </c>
      <c r="F22" s="5">
        <v>44328</v>
      </c>
      <c r="G22" s="12">
        <v>15086</v>
      </c>
      <c r="H22" s="12">
        <v>2843</v>
      </c>
      <c r="I22" s="12">
        <v>17929</v>
      </c>
      <c r="K22" s="5">
        <v>43600</v>
      </c>
      <c r="L22" s="5">
        <v>44328</v>
      </c>
      <c r="M22" s="12">
        <v>3702</v>
      </c>
      <c r="N22" s="12">
        <v>-442</v>
      </c>
      <c r="O22" s="12">
        <v>3260</v>
      </c>
      <c r="P22" s="9">
        <v>0.32519325368938867</v>
      </c>
      <c r="Q22" s="9">
        <v>-0.13455098934550991</v>
      </c>
      <c r="R22" s="13">
        <v>0.22223737132728894</v>
      </c>
    </row>
    <row r="23" spans="1:18" x14ac:dyDescent="0.2">
      <c r="A23" s="5">
        <v>43598</v>
      </c>
      <c r="B23" s="12">
        <v>13131</v>
      </c>
      <c r="C23" s="12">
        <v>2486</v>
      </c>
      <c r="D23" s="12">
        <v>15617</v>
      </c>
      <c r="F23" s="5">
        <v>44329</v>
      </c>
      <c r="G23" s="12">
        <v>19191</v>
      </c>
      <c r="H23" s="12">
        <v>212</v>
      </c>
      <c r="I23" s="12">
        <v>19403</v>
      </c>
      <c r="K23" s="5">
        <v>43601</v>
      </c>
      <c r="L23" s="5">
        <v>44329</v>
      </c>
      <c r="M23" s="12">
        <v>6245</v>
      </c>
      <c r="N23" s="12">
        <v>-2953</v>
      </c>
      <c r="O23" s="12">
        <v>3292</v>
      </c>
      <c r="P23" s="9">
        <v>0.4823883825119728</v>
      </c>
      <c r="Q23" s="9">
        <v>-0.93301737756714065</v>
      </c>
      <c r="R23" s="13">
        <v>0.2043324436720253</v>
      </c>
    </row>
    <row r="24" spans="1:18" x14ac:dyDescent="0.2">
      <c r="A24" s="5">
        <v>43599</v>
      </c>
      <c r="B24" s="12">
        <v>10634</v>
      </c>
      <c r="C24" s="12">
        <v>3214</v>
      </c>
      <c r="D24" s="12">
        <v>13848</v>
      </c>
      <c r="F24" s="5">
        <v>44330</v>
      </c>
      <c r="G24" s="12">
        <v>13590</v>
      </c>
      <c r="H24" s="12">
        <v>2804</v>
      </c>
      <c r="I24" s="12">
        <v>16394</v>
      </c>
      <c r="K24" s="5">
        <v>43602</v>
      </c>
      <c r="L24" s="5">
        <v>44330</v>
      </c>
      <c r="M24" s="12">
        <v>-3864</v>
      </c>
      <c r="N24" s="12">
        <v>141</v>
      </c>
      <c r="O24" s="12">
        <v>-3723</v>
      </c>
      <c r="P24" s="9">
        <v>-0.22138191818494324</v>
      </c>
      <c r="Q24" s="9">
        <v>5.2947803229440371E-2</v>
      </c>
      <c r="R24" s="13">
        <v>-0.18506735596758961</v>
      </c>
    </row>
    <row r="25" spans="1:18" x14ac:dyDescent="0.2">
      <c r="A25" s="5">
        <v>43600</v>
      </c>
      <c r="B25" s="12">
        <v>11384</v>
      </c>
      <c r="C25" s="12">
        <v>3285</v>
      </c>
      <c r="D25" s="12">
        <v>14669</v>
      </c>
      <c r="F25" s="5">
        <v>44331</v>
      </c>
      <c r="G25" s="12">
        <v>17431</v>
      </c>
      <c r="H25" s="12">
        <v>1215</v>
      </c>
      <c r="I25" s="12">
        <v>18646</v>
      </c>
      <c r="K25" s="5">
        <v>43603</v>
      </c>
      <c r="L25" s="5">
        <v>44331</v>
      </c>
      <c r="M25" s="12">
        <v>828</v>
      </c>
      <c r="N25" s="12">
        <v>-332</v>
      </c>
      <c r="O25" s="12">
        <v>496</v>
      </c>
      <c r="P25" s="9">
        <v>4.987050533036208E-2</v>
      </c>
      <c r="Q25" s="9">
        <v>-0.21460892049127345</v>
      </c>
      <c r="R25" s="13">
        <v>2.7327823691460029E-2</v>
      </c>
    </row>
    <row r="26" spans="1:18" x14ac:dyDescent="0.2">
      <c r="A26" s="5">
        <v>43601</v>
      </c>
      <c r="B26" s="12">
        <v>12946</v>
      </c>
      <c r="C26" s="12">
        <v>3165</v>
      </c>
      <c r="D26" s="12">
        <v>16111</v>
      </c>
      <c r="F26" s="5">
        <v>44332</v>
      </c>
      <c r="G26" s="12">
        <v>23525</v>
      </c>
      <c r="H26" s="12">
        <v>149</v>
      </c>
      <c r="I26" s="12">
        <v>23674</v>
      </c>
      <c r="K26" s="5">
        <v>43604</v>
      </c>
      <c r="L26" s="5">
        <v>44332</v>
      </c>
      <c r="M26" s="12">
        <v>4073</v>
      </c>
      <c r="N26" s="12">
        <v>-247</v>
      </c>
      <c r="O26" s="12">
        <v>3826</v>
      </c>
      <c r="P26" s="9">
        <v>0.2093872095414353</v>
      </c>
      <c r="Q26" s="9">
        <v>-0.6237373737373737</v>
      </c>
      <c r="R26" s="13">
        <v>0.1927650141072148</v>
      </c>
    </row>
    <row r="27" spans="1:18" x14ac:dyDescent="0.2">
      <c r="A27" s="5">
        <v>43602</v>
      </c>
      <c r="B27" s="12">
        <v>17454</v>
      </c>
      <c r="C27" s="12">
        <v>2663</v>
      </c>
      <c r="D27" s="12">
        <v>20117</v>
      </c>
      <c r="F27" s="5">
        <v>44333</v>
      </c>
      <c r="G27" s="12">
        <v>15832</v>
      </c>
      <c r="H27" s="12">
        <v>2669</v>
      </c>
      <c r="I27" s="12">
        <v>18501</v>
      </c>
      <c r="K27" s="5">
        <v>43605</v>
      </c>
      <c r="L27" s="5">
        <v>44333</v>
      </c>
      <c r="M27" s="12">
        <v>3454</v>
      </c>
      <c r="N27" s="12">
        <v>26</v>
      </c>
      <c r="O27" s="12">
        <v>3480</v>
      </c>
      <c r="P27" s="9">
        <v>0.27904346421069648</v>
      </c>
      <c r="Q27" s="9">
        <v>9.8373060915626365E-3</v>
      </c>
      <c r="R27" s="13">
        <v>0.23167565408428192</v>
      </c>
    </row>
    <row r="28" spans="1:18" x14ac:dyDescent="0.2">
      <c r="A28" s="5">
        <v>43603</v>
      </c>
      <c r="B28" s="12">
        <v>16603</v>
      </c>
      <c r="C28" s="12">
        <v>1547</v>
      </c>
      <c r="D28" s="12">
        <v>18150</v>
      </c>
      <c r="F28" s="5">
        <v>44334</v>
      </c>
      <c r="G28" s="12">
        <v>11942</v>
      </c>
      <c r="H28" s="12">
        <v>3247</v>
      </c>
      <c r="I28" s="12">
        <v>15189</v>
      </c>
      <c r="K28" s="5">
        <v>43606</v>
      </c>
      <c r="L28" s="5">
        <v>44334</v>
      </c>
      <c r="M28" s="12">
        <v>1397</v>
      </c>
      <c r="N28" s="12">
        <v>152</v>
      </c>
      <c r="O28" s="12">
        <v>1549</v>
      </c>
      <c r="P28" s="9">
        <v>0.13247984826932191</v>
      </c>
      <c r="Q28" s="9">
        <v>4.9111470113085698E-2</v>
      </c>
      <c r="R28" s="13">
        <v>0.1135630498533724</v>
      </c>
    </row>
    <row r="29" spans="1:18" x14ac:dyDescent="0.2">
      <c r="A29" s="5">
        <v>43604</v>
      </c>
      <c r="B29" s="12">
        <v>19452</v>
      </c>
      <c r="C29" s="12">
        <v>396</v>
      </c>
      <c r="D29" s="12">
        <v>19848</v>
      </c>
      <c r="F29" s="5">
        <v>44335</v>
      </c>
      <c r="G29" s="12">
        <v>12930</v>
      </c>
      <c r="H29" s="12">
        <v>2862</v>
      </c>
      <c r="I29" s="12">
        <v>15792</v>
      </c>
      <c r="K29" s="5">
        <v>43607</v>
      </c>
      <c r="L29" s="5">
        <v>44335</v>
      </c>
      <c r="M29" s="12">
        <v>1623</v>
      </c>
      <c r="N29" s="12">
        <v>-433</v>
      </c>
      <c r="O29" s="12">
        <v>1190</v>
      </c>
      <c r="P29" s="9">
        <v>0.14353940037145141</v>
      </c>
      <c r="Q29" s="9">
        <v>-0.1314112291350531</v>
      </c>
      <c r="R29" s="13">
        <v>8.1495685522531058E-2</v>
      </c>
    </row>
    <row r="30" spans="1:18" x14ac:dyDescent="0.2">
      <c r="A30" s="5">
        <v>43605</v>
      </c>
      <c r="B30" s="12">
        <v>12378</v>
      </c>
      <c r="C30" s="12">
        <v>2643</v>
      </c>
      <c r="D30" s="12">
        <v>15021</v>
      </c>
      <c r="F30" s="5">
        <v>44336</v>
      </c>
      <c r="G30" s="12">
        <v>16044</v>
      </c>
      <c r="H30" s="12">
        <v>3161</v>
      </c>
      <c r="I30" s="12">
        <v>19205</v>
      </c>
      <c r="K30" s="5">
        <v>43608</v>
      </c>
      <c r="L30" s="5">
        <v>44336</v>
      </c>
      <c r="M30" s="12">
        <v>2581</v>
      </c>
      <c r="N30" s="12">
        <v>47</v>
      </c>
      <c r="O30" s="12">
        <v>2628</v>
      </c>
      <c r="P30" s="9">
        <v>0.1917106142761642</v>
      </c>
      <c r="Q30" s="9">
        <v>1.5093127809890916E-2</v>
      </c>
      <c r="R30" s="13">
        <v>0.15853290703987444</v>
      </c>
    </row>
    <row r="31" spans="1:18" x14ac:dyDescent="0.2">
      <c r="A31" s="5">
        <v>43606</v>
      </c>
      <c r="B31" s="12">
        <v>10545</v>
      </c>
      <c r="C31" s="12">
        <v>3095</v>
      </c>
      <c r="D31" s="12">
        <v>13640</v>
      </c>
      <c r="F31" s="5">
        <v>44337</v>
      </c>
      <c r="G31" s="12">
        <v>20534</v>
      </c>
      <c r="H31" s="12">
        <v>2580</v>
      </c>
      <c r="I31" s="12">
        <v>23114</v>
      </c>
      <c r="K31" s="5">
        <v>43609</v>
      </c>
      <c r="L31" s="5">
        <v>44337</v>
      </c>
      <c r="M31" s="12">
        <v>1977</v>
      </c>
      <c r="N31" s="12">
        <v>-112</v>
      </c>
      <c r="O31" s="12">
        <v>1865</v>
      </c>
      <c r="P31" s="9">
        <v>0.106536616910061</v>
      </c>
      <c r="Q31" s="9">
        <v>-4.1604754829123292E-2</v>
      </c>
      <c r="R31" s="13">
        <v>8.7768836180526222E-2</v>
      </c>
    </row>
    <row r="32" spans="1:18" x14ac:dyDescent="0.2">
      <c r="A32" s="5">
        <v>43607</v>
      </c>
      <c r="B32" s="12">
        <v>11307</v>
      </c>
      <c r="C32" s="12">
        <v>3295</v>
      </c>
      <c r="D32" s="12">
        <v>14602</v>
      </c>
      <c r="F32" s="5">
        <v>44338</v>
      </c>
      <c r="G32" s="12">
        <v>20229</v>
      </c>
      <c r="H32" s="12">
        <v>1319</v>
      </c>
      <c r="I32" s="12">
        <v>21548</v>
      </c>
      <c r="K32" s="5">
        <v>43610</v>
      </c>
      <c r="L32" s="5">
        <v>44338</v>
      </c>
      <c r="M32" s="12">
        <v>930</v>
      </c>
      <c r="N32" s="12">
        <v>-210</v>
      </c>
      <c r="O32" s="12">
        <v>720</v>
      </c>
      <c r="P32" s="9">
        <v>4.8189025338100322E-2</v>
      </c>
      <c r="Q32" s="9">
        <v>-0.13734466971877046</v>
      </c>
      <c r="R32" s="13">
        <v>3.4568849625504106E-2</v>
      </c>
    </row>
    <row r="33" spans="1:18" x14ac:dyDescent="0.2">
      <c r="A33" s="5">
        <v>43608</v>
      </c>
      <c r="B33" s="12">
        <v>13463</v>
      </c>
      <c r="C33" s="12">
        <v>3114</v>
      </c>
      <c r="D33" s="12">
        <v>16577</v>
      </c>
      <c r="F33" s="5">
        <v>44339</v>
      </c>
      <c r="G33" s="12">
        <v>20186</v>
      </c>
      <c r="H33" s="12">
        <v>138</v>
      </c>
      <c r="I33" s="12">
        <v>20324</v>
      </c>
      <c r="K33" s="5">
        <v>43611</v>
      </c>
      <c r="L33" s="5">
        <v>44339</v>
      </c>
      <c r="M33" s="12">
        <v>-1364</v>
      </c>
      <c r="N33" s="12">
        <v>-326</v>
      </c>
      <c r="O33" s="12">
        <v>-1690</v>
      </c>
      <c r="P33" s="9">
        <v>-6.3294663573085885E-2</v>
      </c>
      <c r="Q33" s="9">
        <v>-0.70258620689655171</v>
      </c>
      <c r="R33" s="13">
        <v>-7.6769328609066934E-2</v>
      </c>
    </row>
    <row r="34" spans="1:18" x14ac:dyDescent="0.2">
      <c r="A34" s="5">
        <v>43609</v>
      </c>
      <c r="B34" s="12">
        <v>18557</v>
      </c>
      <c r="C34" s="12">
        <v>2692</v>
      </c>
      <c r="D34" s="12">
        <v>21249</v>
      </c>
      <c r="F34" s="5">
        <v>44340</v>
      </c>
      <c r="G34" s="12">
        <v>18726</v>
      </c>
      <c r="H34" s="12">
        <v>191</v>
      </c>
      <c r="I34" s="12">
        <v>18917</v>
      </c>
      <c r="K34" s="5">
        <v>43612</v>
      </c>
      <c r="L34" s="5">
        <v>44340</v>
      </c>
      <c r="M34" s="12">
        <v>4189</v>
      </c>
      <c r="N34" s="12">
        <v>-2545</v>
      </c>
      <c r="O34" s="12">
        <v>1644</v>
      </c>
      <c r="P34" s="9">
        <v>0.28816124372291396</v>
      </c>
      <c r="Q34" s="9">
        <v>-0.93019005847953218</v>
      </c>
      <c r="R34" s="13">
        <v>9.517744456666466E-2</v>
      </c>
    </row>
    <row r="35" spans="1:18" x14ac:dyDescent="0.2">
      <c r="A35" s="5">
        <v>43610</v>
      </c>
      <c r="B35" s="12">
        <v>19299</v>
      </c>
      <c r="C35" s="12">
        <v>1529</v>
      </c>
      <c r="D35" s="12">
        <v>20828</v>
      </c>
      <c r="F35" s="5">
        <v>44341</v>
      </c>
      <c r="G35" s="12">
        <v>14657</v>
      </c>
      <c r="H35" s="12">
        <v>3265</v>
      </c>
      <c r="I35" s="12">
        <v>17922</v>
      </c>
      <c r="K35" s="5">
        <v>43613</v>
      </c>
      <c r="L35" s="5">
        <v>44341</v>
      </c>
      <c r="M35" s="12">
        <v>2477</v>
      </c>
      <c r="N35" s="12">
        <v>34</v>
      </c>
      <c r="O35" s="12">
        <v>2511</v>
      </c>
      <c r="P35" s="9">
        <v>0.20336617405582924</v>
      </c>
      <c r="Q35" s="9">
        <v>1.0523057876818287E-2</v>
      </c>
      <c r="R35" s="13">
        <v>0.16293556550515875</v>
      </c>
    </row>
    <row r="36" spans="1:18" x14ac:dyDescent="0.2">
      <c r="A36" s="5">
        <v>43611</v>
      </c>
      <c r="B36" s="12">
        <v>21550</v>
      </c>
      <c r="C36" s="12">
        <v>464</v>
      </c>
      <c r="D36" s="12">
        <v>22014</v>
      </c>
      <c r="F36" s="5">
        <v>44342</v>
      </c>
      <c r="G36" s="12">
        <v>12473</v>
      </c>
      <c r="H36" s="12">
        <v>3253</v>
      </c>
      <c r="I36" s="12">
        <v>15726</v>
      </c>
      <c r="K36" s="5">
        <v>43614</v>
      </c>
      <c r="L36" s="5">
        <v>44342</v>
      </c>
      <c r="M36" s="12">
        <v>-6307</v>
      </c>
      <c r="N36" s="12">
        <v>206</v>
      </c>
      <c r="O36" s="12">
        <v>-6101</v>
      </c>
      <c r="P36" s="9">
        <v>-0.33583599574014911</v>
      </c>
      <c r="Q36" s="9">
        <v>6.7607482769937555E-2</v>
      </c>
      <c r="R36" s="13">
        <v>-0.27951619553763685</v>
      </c>
    </row>
    <row r="37" spans="1:18" x14ac:dyDescent="0.2">
      <c r="A37" s="5">
        <v>43612</v>
      </c>
      <c r="B37" s="12">
        <v>14537</v>
      </c>
      <c r="C37" s="12">
        <v>2736</v>
      </c>
      <c r="D37" s="12">
        <v>17273</v>
      </c>
      <c r="F37" s="5">
        <v>44343</v>
      </c>
      <c r="G37" s="12">
        <v>14512</v>
      </c>
      <c r="H37" s="12">
        <v>3256</v>
      </c>
      <c r="I37" s="12">
        <v>17768</v>
      </c>
      <c r="K37" s="5">
        <v>43615</v>
      </c>
      <c r="L37" s="5">
        <v>44343</v>
      </c>
      <c r="M37" s="12">
        <v>-7712</v>
      </c>
      <c r="N37" s="12">
        <v>2678</v>
      </c>
      <c r="O37" s="12">
        <v>-5034</v>
      </c>
      <c r="P37" s="9">
        <v>-0.3470122390208783</v>
      </c>
      <c r="Q37" s="9">
        <v>4.6332179930795849</v>
      </c>
      <c r="R37" s="13">
        <v>-0.22077010788527318</v>
      </c>
    </row>
    <row r="38" spans="1:18" x14ac:dyDescent="0.2">
      <c r="A38" s="5">
        <v>43613</v>
      </c>
      <c r="B38" s="12">
        <v>12180</v>
      </c>
      <c r="C38" s="12">
        <v>3231</v>
      </c>
      <c r="D38" s="12">
        <v>15411</v>
      </c>
      <c r="F38" s="5">
        <v>44344</v>
      </c>
      <c r="G38" s="12">
        <v>18138</v>
      </c>
      <c r="H38" s="12">
        <v>2836</v>
      </c>
      <c r="I38" s="12">
        <v>20974</v>
      </c>
      <c r="K38" s="5">
        <v>43616</v>
      </c>
      <c r="L38" s="5">
        <v>44344</v>
      </c>
      <c r="M38" s="12">
        <v>498</v>
      </c>
      <c r="N38" s="12">
        <v>94</v>
      </c>
      <c r="O38" s="12">
        <v>592</v>
      </c>
      <c r="P38" s="9">
        <v>2.8231292517006734E-2</v>
      </c>
      <c r="Q38" s="9">
        <v>3.4281546316557332E-2</v>
      </c>
      <c r="R38" s="13">
        <v>2.9045235992542384E-2</v>
      </c>
    </row>
    <row r="39" spans="1:18" ht="12.6" customHeight="1" x14ac:dyDescent="0.2">
      <c r="A39" s="5">
        <v>43614</v>
      </c>
      <c r="B39" s="12">
        <v>18780</v>
      </c>
      <c r="C39" s="12">
        <v>3047</v>
      </c>
      <c r="D39" s="12">
        <v>21827</v>
      </c>
      <c r="F39" s="5">
        <v>44345</v>
      </c>
      <c r="G39" s="21">
        <v>20468</v>
      </c>
      <c r="H39" s="21">
        <v>1349</v>
      </c>
      <c r="I39" s="21">
        <v>21817</v>
      </c>
      <c r="K39" s="5">
        <v>43617</v>
      </c>
      <c r="L39" s="5">
        <v>44345</v>
      </c>
      <c r="M39" s="12">
        <v>-949</v>
      </c>
      <c r="N39" s="12">
        <v>-80</v>
      </c>
      <c r="O39" s="12">
        <v>-1029</v>
      </c>
      <c r="P39" s="9">
        <v>-4.431059438763596E-2</v>
      </c>
      <c r="Q39" s="9">
        <v>-5.5983205038488415E-2</v>
      </c>
      <c r="R39" s="13">
        <v>-4.5040707344830566E-2</v>
      </c>
    </row>
    <row r="40" spans="1:18" ht="12.6" customHeight="1" x14ac:dyDescent="0.2">
      <c r="A40" s="5">
        <v>43615</v>
      </c>
      <c r="B40" s="12">
        <v>22224</v>
      </c>
      <c r="C40" s="12">
        <v>578</v>
      </c>
      <c r="D40" s="12">
        <v>22802</v>
      </c>
      <c r="F40" s="5">
        <v>44346</v>
      </c>
      <c r="G40" s="21">
        <v>21552</v>
      </c>
      <c r="H40" s="21">
        <v>133</v>
      </c>
      <c r="I40" s="21">
        <v>21685</v>
      </c>
      <c r="K40" s="5">
        <v>43618</v>
      </c>
      <c r="L40" s="5">
        <v>44346</v>
      </c>
      <c r="M40" s="12">
        <v>-3409</v>
      </c>
      <c r="N40" s="12">
        <v>-327</v>
      </c>
      <c r="O40" s="12">
        <v>-3736</v>
      </c>
      <c r="P40" s="9">
        <v>-0.13657305396418418</v>
      </c>
      <c r="Q40" s="9">
        <v>-0.71086956521739131</v>
      </c>
      <c r="R40" s="13">
        <v>-0.14696510758821446</v>
      </c>
    </row>
    <row r="41" spans="1:18" ht="12.6" customHeight="1" x14ac:dyDescent="0.2">
      <c r="A41" s="5">
        <v>43616</v>
      </c>
      <c r="B41" s="12">
        <v>17640</v>
      </c>
      <c r="C41" s="12">
        <v>2742</v>
      </c>
      <c r="D41" s="12">
        <v>20382</v>
      </c>
      <c r="F41" s="5">
        <v>44347</v>
      </c>
      <c r="G41" s="21">
        <v>13618</v>
      </c>
      <c r="H41" s="21">
        <v>2738</v>
      </c>
      <c r="I41" s="21">
        <v>16356</v>
      </c>
      <c r="K41" s="5">
        <v>43619</v>
      </c>
      <c r="L41" s="5">
        <v>44347</v>
      </c>
      <c r="M41" s="12">
        <f t="shared" ref="M41:O41" si="0">G41-B44</f>
        <v>-6601</v>
      </c>
      <c r="N41" s="12">
        <f t="shared" si="0"/>
        <v>-144</v>
      </c>
      <c r="O41" s="12">
        <f t="shared" si="0"/>
        <v>-6745</v>
      </c>
      <c r="P41" s="9">
        <f t="shared" ref="P41:R41" si="1">G41/B44-1</f>
        <v>-0.32647509768039962</v>
      </c>
      <c r="Q41" s="9">
        <f t="shared" si="1"/>
        <v>-4.9965301873698853E-2</v>
      </c>
      <c r="R41" s="13">
        <f t="shared" si="1"/>
        <v>-0.29197870222068312</v>
      </c>
    </row>
    <row r="42" spans="1:18" x14ac:dyDescent="0.2">
      <c r="A42" s="5">
        <v>43617</v>
      </c>
      <c r="B42" s="12">
        <v>21417</v>
      </c>
      <c r="C42" s="12">
        <v>1429</v>
      </c>
      <c r="D42" s="12">
        <v>22846</v>
      </c>
      <c r="F42" s="5"/>
      <c r="G42" s="12"/>
      <c r="H42" s="12"/>
      <c r="I42" s="12"/>
      <c r="K42" s="5"/>
      <c r="L42" s="5"/>
      <c r="M42" s="20"/>
      <c r="N42" s="20"/>
      <c r="O42" s="20"/>
      <c r="P42" s="20"/>
      <c r="Q42" s="20"/>
      <c r="R42" s="20"/>
    </row>
    <row r="43" spans="1:18" x14ac:dyDescent="0.2">
      <c r="A43" s="5">
        <v>43618</v>
      </c>
      <c r="B43" s="12">
        <v>24961</v>
      </c>
      <c r="C43" s="12">
        <v>460</v>
      </c>
      <c r="D43" s="12">
        <v>25421</v>
      </c>
      <c r="F43" s="5"/>
      <c r="G43" s="12"/>
      <c r="H43" s="12"/>
      <c r="I43" s="12"/>
      <c r="K43" s="5"/>
      <c r="L43" s="5"/>
      <c r="M43" s="20"/>
      <c r="N43" s="20"/>
      <c r="O43" s="20"/>
      <c r="P43" s="20"/>
      <c r="Q43" s="20"/>
      <c r="R43" s="20"/>
    </row>
    <row r="44" spans="1:18" x14ac:dyDescent="0.2">
      <c r="A44" s="5">
        <v>43619</v>
      </c>
      <c r="B44" s="12">
        <v>20219</v>
      </c>
      <c r="C44" s="12">
        <v>2882</v>
      </c>
      <c r="D44" s="12">
        <v>23101</v>
      </c>
      <c r="F44" s="5"/>
      <c r="G44" s="12"/>
      <c r="H44" s="12"/>
      <c r="I44" s="12"/>
      <c r="K44" s="5"/>
      <c r="L44" s="5"/>
      <c r="M44" s="20"/>
      <c r="N44" s="20"/>
      <c r="O44" s="20"/>
      <c r="P44" s="20"/>
      <c r="Q44" s="20"/>
      <c r="R44" s="20"/>
    </row>
    <row r="45" spans="1:18" x14ac:dyDescent="0.2">
      <c r="A45" s="5"/>
      <c r="B45" s="12"/>
      <c r="C45" s="12"/>
      <c r="D45" s="12"/>
      <c r="F45" s="5"/>
      <c r="G45" s="12"/>
      <c r="H45" s="12"/>
      <c r="I45" s="12"/>
      <c r="K45" s="5"/>
      <c r="L45" s="5"/>
      <c r="M45" s="20"/>
      <c r="N45" s="20"/>
      <c r="O45" s="20"/>
      <c r="P45" s="13"/>
      <c r="Q45" s="13"/>
      <c r="R45" s="13"/>
    </row>
    <row r="46" spans="1:18" x14ac:dyDescent="0.2">
      <c r="A46" s="1"/>
      <c r="B46" s="2"/>
      <c r="C46" s="2"/>
      <c r="D46" s="2"/>
      <c r="F46" s="1"/>
      <c r="G46" s="2"/>
      <c r="H46" s="2"/>
      <c r="I46" s="2"/>
      <c r="R46" s="13"/>
    </row>
    <row r="47" spans="1:18" ht="12.95" customHeight="1" x14ac:dyDescent="0.2">
      <c r="A47" s="26" t="s">
        <v>8</v>
      </c>
      <c r="B47" s="6"/>
      <c r="C47" s="6"/>
      <c r="D47" s="3"/>
      <c r="F47" s="26" t="s">
        <v>8</v>
      </c>
      <c r="G47" s="6"/>
      <c r="H47" s="6"/>
      <c r="I47" s="3"/>
      <c r="K47" s="26" t="s">
        <v>9</v>
      </c>
      <c r="L47" s="26"/>
      <c r="M47" s="6"/>
      <c r="N47" s="6"/>
      <c r="O47" s="3"/>
      <c r="P47" s="6"/>
      <c r="Q47" s="6"/>
      <c r="R47" s="6"/>
    </row>
    <row r="48" spans="1:18" ht="30" customHeight="1" x14ac:dyDescent="0.2">
      <c r="A48" s="27"/>
      <c r="B48" s="8" t="s">
        <v>38</v>
      </c>
      <c r="C48" s="4" t="s">
        <v>2</v>
      </c>
      <c r="D48" s="4" t="s">
        <v>0</v>
      </c>
      <c r="F48" s="27"/>
      <c r="G48" s="8" t="s">
        <v>38</v>
      </c>
      <c r="H48" s="4" t="s">
        <v>2</v>
      </c>
      <c r="I48" s="4" t="s">
        <v>0</v>
      </c>
      <c r="K48" s="27"/>
      <c r="L48" s="27"/>
      <c r="M48" s="8" t="s">
        <v>38</v>
      </c>
      <c r="N48" s="4" t="s">
        <v>2</v>
      </c>
      <c r="O48" s="4" t="s">
        <v>0</v>
      </c>
      <c r="P48" s="8" t="s">
        <v>38</v>
      </c>
      <c r="Q48" s="4" t="s">
        <v>2</v>
      </c>
      <c r="R48" s="4" t="s">
        <v>0</v>
      </c>
    </row>
    <row r="49" spans="1:18" x14ac:dyDescent="0.2">
      <c r="A49" s="5">
        <v>43586</v>
      </c>
      <c r="B49" s="12">
        <v>8504</v>
      </c>
      <c r="C49" s="12">
        <v>550</v>
      </c>
      <c r="D49" s="12">
        <v>9054</v>
      </c>
      <c r="F49" s="5">
        <v>44317</v>
      </c>
      <c r="G49" s="12">
        <v>8596</v>
      </c>
      <c r="H49" s="12">
        <v>201</v>
      </c>
      <c r="I49" s="12">
        <v>8797</v>
      </c>
      <c r="K49" s="5">
        <v>43589</v>
      </c>
      <c r="L49" s="5">
        <v>44317</v>
      </c>
      <c r="M49" s="22">
        <v>-415</v>
      </c>
      <c r="N49" s="22">
        <v>-482</v>
      </c>
      <c r="O49" s="22">
        <v>-897</v>
      </c>
      <c r="P49" s="23">
        <v>-4.6054821884363606E-2</v>
      </c>
      <c r="Q49" s="23">
        <v>-0.70571010248901911</v>
      </c>
      <c r="R49" s="13">
        <v>-9.2531462760470418E-2</v>
      </c>
    </row>
    <row r="50" spans="1:18" x14ac:dyDescent="0.2">
      <c r="A50" s="5">
        <v>43587</v>
      </c>
      <c r="B50" s="12">
        <v>6536</v>
      </c>
      <c r="C50" s="12">
        <v>1360</v>
      </c>
      <c r="D50" s="12">
        <v>7896</v>
      </c>
      <c r="F50" s="5">
        <v>44318</v>
      </c>
      <c r="G50" s="12">
        <v>8879</v>
      </c>
      <c r="H50" s="12">
        <v>86</v>
      </c>
      <c r="I50" s="12">
        <v>8965</v>
      </c>
      <c r="K50" s="5">
        <v>43590</v>
      </c>
      <c r="L50" s="5">
        <v>44318</v>
      </c>
      <c r="M50" s="22">
        <v>1048</v>
      </c>
      <c r="N50" s="22">
        <v>-90</v>
      </c>
      <c r="O50" s="22">
        <v>958</v>
      </c>
      <c r="P50" s="23">
        <v>0.13382709743327803</v>
      </c>
      <c r="Q50" s="23">
        <v>-0.51136363636363635</v>
      </c>
      <c r="R50" s="13">
        <v>0.11964531035344073</v>
      </c>
    </row>
    <row r="51" spans="1:18" x14ac:dyDescent="0.2">
      <c r="A51" s="5">
        <v>43588</v>
      </c>
      <c r="B51" s="12">
        <v>9564</v>
      </c>
      <c r="C51" s="12">
        <v>1356</v>
      </c>
      <c r="D51" s="12">
        <v>10920</v>
      </c>
      <c r="F51" s="5">
        <v>44319</v>
      </c>
      <c r="G51" s="12">
        <v>6106</v>
      </c>
      <c r="H51" s="12">
        <v>1290</v>
      </c>
      <c r="I51" s="12">
        <v>7396</v>
      </c>
      <c r="K51" s="5">
        <v>43591</v>
      </c>
      <c r="L51" s="5">
        <v>44319</v>
      </c>
      <c r="M51" s="22">
        <v>150</v>
      </c>
      <c r="N51" s="22">
        <v>87</v>
      </c>
      <c r="O51" s="22">
        <v>237</v>
      </c>
      <c r="P51" s="23">
        <v>2.5184687709872478E-2</v>
      </c>
      <c r="Q51" s="23">
        <v>7.2319201995012516E-2</v>
      </c>
      <c r="R51" s="13">
        <v>3.3105182288029056E-2</v>
      </c>
    </row>
    <row r="52" spans="1:18" x14ac:dyDescent="0.2">
      <c r="A52" s="5">
        <v>43589</v>
      </c>
      <c r="B52" s="12">
        <v>9011</v>
      </c>
      <c r="C52" s="12">
        <v>683</v>
      </c>
      <c r="D52" s="12">
        <v>9694</v>
      </c>
      <c r="F52" s="5">
        <v>44320</v>
      </c>
      <c r="G52" s="12">
        <v>4878</v>
      </c>
      <c r="H52" s="12">
        <v>1520</v>
      </c>
      <c r="I52" s="12">
        <v>6398</v>
      </c>
      <c r="K52" s="5">
        <v>43592</v>
      </c>
      <c r="L52" s="5">
        <v>44320</v>
      </c>
      <c r="M52" s="22">
        <v>-25</v>
      </c>
      <c r="N52" s="22">
        <v>-17</v>
      </c>
      <c r="O52" s="22">
        <v>-42</v>
      </c>
      <c r="P52" s="23">
        <v>-5.098919029165816E-3</v>
      </c>
      <c r="Q52" s="23">
        <v>-1.1060507482107962E-2</v>
      </c>
      <c r="R52" s="13">
        <v>-6.521739130434745E-3</v>
      </c>
    </row>
    <row r="53" spans="1:18" x14ac:dyDescent="0.2">
      <c r="A53" s="5">
        <v>43590</v>
      </c>
      <c r="B53" s="12">
        <v>7831</v>
      </c>
      <c r="C53" s="12">
        <v>176</v>
      </c>
      <c r="D53" s="12">
        <v>8007</v>
      </c>
      <c r="F53" s="5">
        <v>44321</v>
      </c>
      <c r="G53" s="12">
        <v>5648</v>
      </c>
      <c r="H53" s="12">
        <v>1574</v>
      </c>
      <c r="I53" s="12">
        <v>7222</v>
      </c>
      <c r="K53" s="5">
        <v>43593</v>
      </c>
      <c r="L53" s="5">
        <v>44321</v>
      </c>
      <c r="M53" s="22">
        <v>-33</v>
      </c>
      <c r="N53" s="22">
        <v>45</v>
      </c>
      <c r="O53" s="22">
        <v>12</v>
      </c>
      <c r="P53" s="23">
        <v>-5.8088364724520059E-3</v>
      </c>
      <c r="Q53" s="23">
        <v>2.9431000654022155E-2</v>
      </c>
      <c r="R53" s="13">
        <v>1.6643550624133585E-3</v>
      </c>
    </row>
    <row r="54" spans="1:18" x14ac:dyDescent="0.2">
      <c r="A54" s="5">
        <v>43591</v>
      </c>
      <c r="B54" s="12">
        <v>5956</v>
      </c>
      <c r="C54" s="12">
        <v>1203</v>
      </c>
      <c r="D54" s="12">
        <v>7159</v>
      </c>
      <c r="F54" s="5">
        <v>44322</v>
      </c>
      <c r="G54" s="12">
        <v>7014</v>
      </c>
      <c r="H54" s="12">
        <v>1571</v>
      </c>
      <c r="I54" s="12">
        <v>8585</v>
      </c>
      <c r="K54" s="5">
        <v>43594</v>
      </c>
      <c r="L54" s="5">
        <v>44322</v>
      </c>
      <c r="M54" s="22">
        <v>-273</v>
      </c>
      <c r="N54" s="22">
        <v>42</v>
      </c>
      <c r="O54" s="22">
        <v>-231</v>
      </c>
      <c r="P54" s="23">
        <v>-3.7463976945244948E-2</v>
      </c>
      <c r="Q54" s="23">
        <v>2.7468933943754159E-2</v>
      </c>
      <c r="R54" s="13">
        <v>-2.6202359346642501E-2</v>
      </c>
    </row>
    <row r="55" spans="1:18" x14ac:dyDescent="0.2">
      <c r="A55" s="5">
        <v>43592</v>
      </c>
      <c r="B55" s="12">
        <v>4903</v>
      </c>
      <c r="C55" s="12">
        <v>1537</v>
      </c>
      <c r="D55" s="12">
        <v>6440</v>
      </c>
      <c r="F55" s="5">
        <v>44323</v>
      </c>
      <c r="G55" s="12">
        <v>9782</v>
      </c>
      <c r="H55" s="12">
        <v>1245</v>
      </c>
      <c r="I55" s="12">
        <v>11027</v>
      </c>
      <c r="K55" s="5">
        <v>43595</v>
      </c>
      <c r="L55" s="5">
        <v>44323</v>
      </c>
      <c r="M55" s="22">
        <v>-494</v>
      </c>
      <c r="N55" s="22">
        <v>-150</v>
      </c>
      <c r="O55" s="22">
        <v>-644</v>
      </c>
      <c r="P55" s="23">
        <v>-4.8073180225768786E-2</v>
      </c>
      <c r="Q55" s="23">
        <v>-0.10752688172043012</v>
      </c>
      <c r="R55" s="13">
        <v>-5.5179504755376585E-2</v>
      </c>
    </row>
    <row r="56" spans="1:18" x14ac:dyDescent="0.2">
      <c r="A56" s="5">
        <v>43593</v>
      </c>
      <c r="B56" s="12">
        <v>5681</v>
      </c>
      <c r="C56" s="12">
        <v>1529</v>
      </c>
      <c r="D56" s="12">
        <v>7210</v>
      </c>
      <c r="F56" s="5">
        <v>44324</v>
      </c>
      <c r="G56" s="12">
        <v>8585</v>
      </c>
      <c r="H56" s="12">
        <v>535</v>
      </c>
      <c r="I56" s="12">
        <v>9120</v>
      </c>
      <c r="K56" s="5">
        <v>43596</v>
      </c>
      <c r="L56" s="5">
        <v>44324</v>
      </c>
      <c r="M56" s="22">
        <v>-189</v>
      </c>
      <c r="N56" s="22">
        <v>-133</v>
      </c>
      <c r="O56" s="22">
        <v>-322</v>
      </c>
      <c r="P56" s="23">
        <v>-2.1540916343742889E-2</v>
      </c>
      <c r="Q56" s="23">
        <v>-0.19910179640718562</v>
      </c>
      <c r="R56" s="13">
        <v>-3.4102944291463655E-2</v>
      </c>
    </row>
    <row r="57" spans="1:18" x14ac:dyDescent="0.2">
      <c r="A57" s="5">
        <v>43594</v>
      </c>
      <c r="B57" s="12">
        <v>7287</v>
      </c>
      <c r="C57" s="12">
        <v>1529</v>
      </c>
      <c r="D57" s="12">
        <v>8816</v>
      </c>
      <c r="F57" s="5">
        <v>44325</v>
      </c>
      <c r="G57" s="12">
        <v>5988</v>
      </c>
      <c r="H57" s="12">
        <v>44</v>
      </c>
      <c r="I57" s="12">
        <v>6032</v>
      </c>
      <c r="K57" s="5">
        <v>43597</v>
      </c>
      <c r="L57" s="5">
        <v>44325</v>
      </c>
      <c r="M57" s="22">
        <v>-2821</v>
      </c>
      <c r="N57" s="22">
        <v>-179</v>
      </c>
      <c r="O57" s="22">
        <v>-3000</v>
      </c>
      <c r="P57" s="23">
        <v>-0.32024066295833808</v>
      </c>
      <c r="Q57" s="23">
        <v>-0.80269058295964124</v>
      </c>
      <c r="R57" s="13">
        <v>-0.33215234720992026</v>
      </c>
    </row>
    <row r="58" spans="1:18" x14ac:dyDescent="0.2">
      <c r="A58" s="5">
        <v>43595</v>
      </c>
      <c r="B58" s="12">
        <v>10276</v>
      </c>
      <c r="C58" s="12">
        <v>1395</v>
      </c>
      <c r="D58" s="12">
        <v>11671</v>
      </c>
      <c r="F58" s="5">
        <v>44326</v>
      </c>
      <c r="G58" s="12">
        <v>4684</v>
      </c>
      <c r="H58" s="12">
        <v>1186</v>
      </c>
      <c r="I58" s="12">
        <v>5870</v>
      </c>
      <c r="K58" s="5">
        <v>43598</v>
      </c>
      <c r="L58" s="5">
        <v>44326</v>
      </c>
      <c r="M58" s="12">
        <v>-1454</v>
      </c>
      <c r="N58" s="12">
        <v>55</v>
      </c>
      <c r="O58" s="12">
        <v>-1399</v>
      </c>
      <c r="P58" s="9">
        <v>-0.23688497882046267</v>
      </c>
      <c r="Q58" s="9">
        <v>4.8629531388152181E-2</v>
      </c>
      <c r="R58" s="13">
        <v>-0.19246113633237039</v>
      </c>
    </row>
    <row r="59" spans="1:18" x14ac:dyDescent="0.2">
      <c r="A59" s="5">
        <v>43596</v>
      </c>
      <c r="B59" s="12">
        <v>8774</v>
      </c>
      <c r="C59" s="12">
        <v>668</v>
      </c>
      <c r="D59" s="12">
        <v>9442</v>
      </c>
      <c r="F59" s="5">
        <v>44327</v>
      </c>
      <c r="G59" s="12">
        <v>6053</v>
      </c>
      <c r="H59" s="12">
        <v>1482</v>
      </c>
      <c r="I59" s="12">
        <v>7535</v>
      </c>
      <c r="K59" s="5">
        <v>43599</v>
      </c>
      <c r="L59" s="5">
        <v>44327</v>
      </c>
      <c r="M59" s="12">
        <v>636</v>
      </c>
      <c r="N59" s="12">
        <v>-35</v>
      </c>
      <c r="O59" s="12">
        <v>601</v>
      </c>
      <c r="P59" s="9">
        <v>0.11740815949787708</v>
      </c>
      <c r="Q59" s="9">
        <v>-2.3071852340144972E-2</v>
      </c>
      <c r="R59" s="13">
        <v>8.6674358234785087E-2</v>
      </c>
    </row>
    <row r="60" spans="1:18" x14ac:dyDescent="0.2">
      <c r="A60" s="5">
        <v>43597</v>
      </c>
      <c r="B60" s="12">
        <v>8809</v>
      </c>
      <c r="C60" s="12">
        <v>223</v>
      </c>
      <c r="D60" s="12">
        <v>9032</v>
      </c>
      <c r="F60" s="5">
        <v>44328</v>
      </c>
      <c r="G60" s="12">
        <v>10549</v>
      </c>
      <c r="H60" s="12">
        <v>1456</v>
      </c>
      <c r="I60" s="12">
        <v>12005</v>
      </c>
      <c r="K60" s="5">
        <v>43600</v>
      </c>
      <c r="L60" s="5">
        <v>44328</v>
      </c>
      <c r="M60" s="12">
        <v>4666</v>
      </c>
      <c r="N60" s="12">
        <v>-105</v>
      </c>
      <c r="O60" s="12">
        <v>4561</v>
      </c>
      <c r="P60" s="9">
        <v>0.79313275539690631</v>
      </c>
      <c r="Q60" s="9">
        <v>-6.7264573991031362E-2</v>
      </c>
      <c r="R60" s="13">
        <v>0.6127082213863515</v>
      </c>
    </row>
    <row r="61" spans="1:18" x14ac:dyDescent="0.2">
      <c r="A61" s="5">
        <v>43598</v>
      </c>
      <c r="B61" s="12">
        <v>6138</v>
      </c>
      <c r="C61" s="12">
        <v>1131</v>
      </c>
      <c r="D61" s="12">
        <v>7269</v>
      </c>
      <c r="F61" s="5">
        <v>44329</v>
      </c>
      <c r="G61" s="12">
        <v>12716</v>
      </c>
      <c r="H61" s="12">
        <v>135</v>
      </c>
      <c r="I61" s="12">
        <v>12851</v>
      </c>
      <c r="K61" s="5">
        <v>43601</v>
      </c>
      <c r="L61" s="5">
        <v>44329</v>
      </c>
      <c r="M61" s="12">
        <v>5802</v>
      </c>
      <c r="N61" s="12">
        <v>-1401</v>
      </c>
      <c r="O61" s="12">
        <v>4401</v>
      </c>
      <c r="P61" s="9">
        <v>0.83916690772345959</v>
      </c>
      <c r="Q61" s="9">
        <v>-0.912109375</v>
      </c>
      <c r="R61" s="13">
        <v>0.5208284023668639</v>
      </c>
    </row>
    <row r="62" spans="1:18" x14ac:dyDescent="0.2">
      <c r="A62" s="5">
        <v>43599</v>
      </c>
      <c r="B62" s="12">
        <v>5417</v>
      </c>
      <c r="C62" s="12">
        <v>1517</v>
      </c>
      <c r="D62" s="12">
        <v>6934</v>
      </c>
      <c r="F62" s="5">
        <v>44330</v>
      </c>
      <c r="G62" s="12">
        <v>7295</v>
      </c>
      <c r="H62" s="12">
        <v>1296</v>
      </c>
      <c r="I62" s="12">
        <v>8591</v>
      </c>
      <c r="K62" s="5">
        <v>43602</v>
      </c>
      <c r="L62" s="5">
        <v>44330</v>
      </c>
      <c r="M62" s="12">
        <v>-2715</v>
      </c>
      <c r="N62" s="12">
        <v>15</v>
      </c>
      <c r="O62" s="12">
        <v>-2700</v>
      </c>
      <c r="P62" s="9">
        <v>-0.2712287712287712</v>
      </c>
      <c r="Q62" s="9">
        <v>1.1709601873536313E-2</v>
      </c>
      <c r="R62" s="13">
        <v>-0.23912850943229125</v>
      </c>
    </row>
    <row r="63" spans="1:18" x14ac:dyDescent="0.2">
      <c r="A63" s="5">
        <v>43600</v>
      </c>
      <c r="B63" s="12">
        <v>5883</v>
      </c>
      <c r="C63" s="12">
        <v>1561</v>
      </c>
      <c r="D63" s="12">
        <v>7444</v>
      </c>
      <c r="F63" s="5">
        <v>44331</v>
      </c>
      <c r="G63" s="12">
        <v>7348</v>
      </c>
      <c r="H63" s="12">
        <v>507</v>
      </c>
      <c r="I63" s="12">
        <v>7855</v>
      </c>
      <c r="K63" s="5">
        <v>43603</v>
      </c>
      <c r="L63" s="5">
        <v>44331</v>
      </c>
      <c r="M63" s="12">
        <v>-1353</v>
      </c>
      <c r="N63" s="12">
        <v>-123</v>
      </c>
      <c r="O63" s="12">
        <v>-1476</v>
      </c>
      <c r="P63" s="9">
        <v>-0.15549936788874841</v>
      </c>
      <c r="Q63" s="9">
        <v>-0.19523809523809521</v>
      </c>
      <c r="R63" s="13">
        <v>-0.158182402743543</v>
      </c>
    </row>
    <row r="64" spans="1:18" x14ac:dyDescent="0.2">
      <c r="A64" s="5">
        <v>43601</v>
      </c>
      <c r="B64" s="12">
        <v>6914</v>
      </c>
      <c r="C64" s="12">
        <v>1536</v>
      </c>
      <c r="D64" s="12">
        <v>8450</v>
      </c>
      <c r="F64" s="5">
        <v>44332</v>
      </c>
      <c r="G64" s="12">
        <v>9281</v>
      </c>
      <c r="H64" s="12">
        <v>80</v>
      </c>
      <c r="I64" s="12">
        <v>9361</v>
      </c>
      <c r="K64" s="5">
        <v>43604</v>
      </c>
      <c r="L64" s="5">
        <v>44332</v>
      </c>
      <c r="M64" s="12">
        <v>816</v>
      </c>
      <c r="N64" s="12">
        <v>-102</v>
      </c>
      <c r="O64" s="12">
        <v>714</v>
      </c>
      <c r="P64" s="9">
        <v>9.6396928529238091E-2</v>
      </c>
      <c r="Q64" s="9">
        <v>-0.56043956043956045</v>
      </c>
      <c r="R64" s="13">
        <v>8.25719902856481E-2</v>
      </c>
    </row>
    <row r="65" spans="1:18" x14ac:dyDescent="0.2">
      <c r="A65" s="5">
        <v>43602</v>
      </c>
      <c r="B65" s="12">
        <v>10010</v>
      </c>
      <c r="C65" s="12">
        <v>1281</v>
      </c>
      <c r="D65" s="12">
        <v>11291</v>
      </c>
      <c r="F65" s="5">
        <v>44333</v>
      </c>
      <c r="G65" s="12">
        <v>7680</v>
      </c>
      <c r="H65" s="12">
        <v>1167</v>
      </c>
      <c r="I65" s="12">
        <v>8847</v>
      </c>
      <c r="K65" s="5">
        <v>43605</v>
      </c>
      <c r="L65" s="5">
        <v>44333</v>
      </c>
      <c r="M65" s="12">
        <v>1688</v>
      </c>
      <c r="N65" s="12">
        <v>-34</v>
      </c>
      <c r="O65" s="12">
        <v>1654</v>
      </c>
      <c r="P65" s="9">
        <v>0.28170894526034718</v>
      </c>
      <c r="Q65" s="9">
        <v>-2.830974188176516E-2</v>
      </c>
      <c r="R65" s="13">
        <v>0.22994578062004734</v>
      </c>
    </row>
    <row r="66" spans="1:18" x14ac:dyDescent="0.2">
      <c r="A66" s="5">
        <v>43603</v>
      </c>
      <c r="B66" s="12">
        <v>8701</v>
      </c>
      <c r="C66" s="12">
        <v>630</v>
      </c>
      <c r="D66" s="12">
        <v>9331</v>
      </c>
      <c r="F66" s="5">
        <v>44334</v>
      </c>
      <c r="G66" s="12">
        <v>6475</v>
      </c>
      <c r="H66" s="12">
        <v>1577</v>
      </c>
      <c r="I66" s="12">
        <v>8052</v>
      </c>
      <c r="K66" s="5">
        <v>43606</v>
      </c>
      <c r="L66" s="5">
        <v>44334</v>
      </c>
      <c r="M66" s="12">
        <v>789</v>
      </c>
      <c r="N66" s="12">
        <v>122</v>
      </c>
      <c r="O66" s="12">
        <v>911</v>
      </c>
      <c r="P66" s="9">
        <v>0.13876187126275052</v>
      </c>
      <c r="Q66" s="9">
        <v>8.3848797250859031E-2</v>
      </c>
      <c r="R66" s="13">
        <v>0.12757316902394633</v>
      </c>
    </row>
    <row r="67" spans="1:18" x14ac:dyDescent="0.2">
      <c r="A67" s="5">
        <v>43604</v>
      </c>
      <c r="B67" s="12">
        <v>8465</v>
      </c>
      <c r="C67" s="12">
        <v>182</v>
      </c>
      <c r="D67" s="12">
        <v>8647</v>
      </c>
      <c r="F67" s="5">
        <v>44335</v>
      </c>
      <c r="G67" s="12">
        <v>6764</v>
      </c>
      <c r="H67" s="12">
        <v>1402</v>
      </c>
      <c r="I67" s="12">
        <v>8166</v>
      </c>
      <c r="K67" s="5">
        <v>43607</v>
      </c>
      <c r="L67" s="5">
        <v>44335</v>
      </c>
      <c r="M67" s="12">
        <v>556</v>
      </c>
      <c r="N67" s="12">
        <v>-184</v>
      </c>
      <c r="O67" s="12">
        <v>372</v>
      </c>
      <c r="P67" s="9">
        <v>8.9561855670102997E-2</v>
      </c>
      <c r="Q67" s="9">
        <v>-0.11601513240857508</v>
      </c>
      <c r="R67" s="13">
        <v>4.77290223248652E-2</v>
      </c>
    </row>
    <row r="68" spans="1:18" x14ac:dyDescent="0.2">
      <c r="A68" s="5">
        <v>43605</v>
      </c>
      <c r="B68" s="12">
        <v>5992</v>
      </c>
      <c r="C68" s="12">
        <v>1201</v>
      </c>
      <c r="D68" s="12">
        <v>7193</v>
      </c>
      <c r="F68" s="5">
        <v>44336</v>
      </c>
      <c r="G68" s="12">
        <v>9339</v>
      </c>
      <c r="H68" s="12">
        <v>1625</v>
      </c>
      <c r="I68" s="12">
        <v>10964</v>
      </c>
      <c r="K68" s="5">
        <v>43608</v>
      </c>
      <c r="L68" s="5">
        <v>44336</v>
      </c>
      <c r="M68" s="12">
        <v>1575</v>
      </c>
      <c r="N68" s="12">
        <v>111</v>
      </c>
      <c r="O68" s="12">
        <v>1686</v>
      </c>
      <c r="P68" s="9">
        <v>0.20285935085007734</v>
      </c>
      <c r="Q68" s="9">
        <v>7.3315719947159907E-2</v>
      </c>
      <c r="R68" s="13">
        <v>0.1817201983186032</v>
      </c>
    </row>
    <row r="69" spans="1:18" x14ac:dyDescent="0.2">
      <c r="A69" s="5">
        <v>43606</v>
      </c>
      <c r="B69" s="12">
        <v>5686</v>
      </c>
      <c r="C69" s="12">
        <v>1455</v>
      </c>
      <c r="D69" s="12">
        <v>7141</v>
      </c>
      <c r="F69" s="5">
        <v>44337</v>
      </c>
      <c r="G69" s="12">
        <v>12776</v>
      </c>
      <c r="H69" s="12">
        <v>1268</v>
      </c>
      <c r="I69" s="12">
        <v>14044</v>
      </c>
      <c r="K69" s="5">
        <v>43609</v>
      </c>
      <c r="L69" s="5">
        <v>44337</v>
      </c>
      <c r="M69" s="12">
        <v>951</v>
      </c>
      <c r="N69" s="12">
        <v>-46</v>
      </c>
      <c r="O69" s="12">
        <v>905</v>
      </c>
      <c r="P69" s="9">
        <v>8.0422832980972414E-2</v>
      </c>
      <c r="Q69" s="9">
        <v>-3.5007610350076157E-2</v>
      </c>
      <c r="R69" s="13">
        <v>6.8878910114924974E-2</v>
      </c>
    </row>
    <row r="70" spans="1:18" x14ac:dyDescent="0.2">
      <c r="A70" s="5">
        <v>43607</v>
      </c>
      <c r="B70" s="12">
        <v>6208</v>
      </c>
      <c r="C70" s="12">
        <v>1586</v>
      </c>
      <c r="D70" s="12">
        <v>7794</v>
      </c>
      <c r="F70" s="5">
        <v>44338</v>
      </c>
      <c r="G70" s="12">
        <v>13241</v>
      </c>
      <c r="H70" s="12">
        <v>627</v>
      </c>
      <c r="I70" s="12">
        <v>13868</v>
      </c>
      <c r="K70" s="5">
        <v>43610</v>
      </c>
      <c r="L70" s="5">
        <v>44338</v>
      </c>
      <c r="M70" s="12">
        <v>1489</v>
      </c>
      <c r="N70" s="12">
        <v>-54</v>
      </c>
      <c r="O70" s="12">
        <v>1435</v>
      </c>
      <c r="P70" s="9">
        <v>0.12670183798502377</v>
      </c>
      <c r="Q70" s="9">
        <v>-7.9295154185021977E-2</v>
      </c>
      <c r="R70" s="13">
        <v>0.11541864393147261</v>
      </c>
    </row>
    <row r="71" spans="1:18" x14ac:dyDescent="0.2">
      <c r="A71" s="5">
        <v>43608</v>
      </c>
      <c r="B71" s="12">
        <v>7764</v>
      </c>
      <c r="C71" s="12">
        <v>1514</v>
      </c>
      <c r="D71" s="12">
        <v>9278</v>
      </c>
      <c r="F71" s="5">
        <v>44339</v>
      </c>
      <c r="G71" s="12">
        <v>10260</v>
      </c>
      <c r="H71" s="12">
        <v>65</v>
      </c>
      <c r="I71" s="12">
        <v>10325</v>
      </c>
      <c r="K71" s="5">
        <v>43611</v>
      </c>
      <c r="L71" s="5">
        <v>44339</v>
      </c>
      <c r="M71" s="12">
        <v>359</v>
      </c>
      <c r="N71" s="12">
        <v>-163</v>
      </c>
      <c r="O71" s="12">
        <v>196</v>
      </c>
      <c r="P71" s="9">
        <v>3.625896374103621E-2</v>
      </c>
      <c r="Q71" s="9">
        <v>-0.71491228070175439</v>
      </c>
      <c r="R71" s="13">
        <v>1.9350380096751829E-2</v>
      </c>
    </row>
    <row r="72" spans="1:18" x14ac:dyDescent="0.2">
      <c r="A72" s="5">
        <v>43609</v>
      </c>
      <c r="B72" s="12">
        <v>11825</v>
      </c>
      <c r="C72" s="12">
        <v>1314</v>
      </c>
      <c r="D72" s="12">
        <v>13139</v>
      </c>
      <c r="F72" s="5">
        <v>44340</v>
      </c>
      <c r="G72" s="12">
        <v>6422</v>
      </c>
      <c r="H72" s="12">
        <v>110</v>
      </c>
      <c r="I72" s="12">
        <v>6532</v>
      </c>
      <c r="K72" s="5">
        <v>43612</v>
      </c>
      <c r="L72" s="5">
        <v>44340</v>
      </c>
      <c r="M72" s="12">
        <v>-615</v>
      </c>
      <c r="N72" s="12">
        <v>-1090</v>
      </c>
      <c r="O72" s="12">
        <v>-1705</v>
      </c>
      <c r="P72" s="9">
        <v>-8.7395196816825393E-2</v>
      </c>
      <c r="Q72" s="9">
        <v>-0.90833333333333333</v>
      </c>
      <c r="R72" s="13">
        <v>-0.20699283719800898</v>
      </c>
    </row>
    <row r="73" spans="1:18" x14ac:dyDescent="0.2">
      <c r="A73" s="5">
        <v>43610</v>
      </c>
      <c r="B73" s="12">
        <v>11752</v>
      </c>
      <c r="C73" s="12">
        <v>681</v>
      </c>
      <c r="D73" s="12">
        <v>12433</v>
      </c>
      <c r="F73" s="5">
        <v>44341</v>
      </c>
      <c r="G73" s="12">
        <v>7106</v>
      </c>
      <c r="H73" s="12">
        <v>1209</v>
      </c>
      <c r="I73" s="12">
        <v>8315</v>
      </c>
      <c r="K73" s="5">
        <v>43613</v>
      </c>
      <c r="L73" s="5">
        <v>44341</v>
      </c>
      <c r="M73" s="12">
        <v>7</v>
      </c>
      <c r="N73" s="12">
        <v>-305</v>
      </c>
      <c r="O73" s="12">
        <v>-298</v>
      </c>
      <c r="P73" s="9">
        <v>9.860543738555716E-4</v>
      </c>
      <c r="Q73" s="9">
        <v>-0.20145310435931307</v>
      </c>
      <c r="R73" s="13">
        <v>-3.4598862185069135E-2</v>
      </c>
    </row>
    <row r="74" spans="1:18" x14ac:dyDescent="0.2">
      <c r="A74" s="5">
        <v>43611</v>
      </c>
      <c r="B74" s="12">
        <v>9901</v>
      </c>
      <c r="C74" s="12">
        <v>228</v>
      </c>
      <c r="D74" s="12">
        <v>10129</v>
      </c>
      <c r="F74" s="5">
        <v>44342</v>
      </c>
      <c r="G74" s="12">
        <v>6816</v>
      </c>
      <c r="H74" s="12">
        <v>1662</v>
      </c>
      <c r="I74" s="12">
        <v>8478</v>
      </c>
      <c r="K74" s="5">
        <v>43614</v>
      </c>
      <c r="L74" s="5">
        <v>44342</v>
      </c>
      <c r="M74" s="12">
        <v>-6713</v>
      </c>
      <c r="N74" s="12">
        <v>35</v>
      </c>
      <c r="O74" s="12">
        <v>-6678</v>
      </c>
      <c r="P74" s="9">
        <v>-0.49619336240668199</v>
      </c>
      <c r="Q74" s="9">
        <v>2.1511985248924503E-2</v>
      </c>
      <c r="R74" s="13">
        <v>-0.44061757719714967</v>
      </c>
    </row>
    <row r="75" spans="1:18" x14ac:dyDescent="0.2">
      <c r="A75" s="5">
        <v>43612</v>
      </c>
      <c r="B75" s="12">
        <v>7037</v>
      </c>
      <c r="C75" s="12">
        <v>1200</v>
      </c>
      <c r="D75" s="12">
        <v>8237</v>
      </c>
      <c r="F75" s="5">
        <v>44343</v>
      </c>
      <c r="G75" s="12">
        <v>8453</v>
      </c>
      <c r="H75" s="12">
        <v>1725</v>
      </c>
      <c r="I75" s="12">
        <v>10178</v>
      </c>
      <c r="K75" s="5">
        <v>43615</v>
      </c>
      <c r="L75" s="5">
        <v>44343</v>
      </c>
      <c r="M75" s="12">
        <v>-8026</v>
      </c>
      <c r="N75" s="12">
        <v>1347</v>
      </c>
      <c r="O75" s="12">
        <v>-6679</v>
      </c>
      <c r="P75" s="9">
        <v>-0.48704411675465742</v>
      </c>
      <c r="Q75" s="9">
        <v>3.5634920634920633</v>
      </c>
      <c r="R75" s="13">
        <v>-0.39621522216289973</v>
      </c>
    </row>
    <row r="76" spans="1:18" x14ac:dyDescent="0.2">
      <c r="A76" s="5">
        <v>43613</v>
      </c>
      <c r="B76" s="12">
        <v>7099</v>
      </c>
      <c r="C76" s="12">
        <v>1514</v>
      </c>
      <c r="D76" s="12">
        <v>8613</v>
      </c>
      <c r="F76" s="5">
        <v>44344</v>
      </c>
      <c r="G76" s="12">
        <v>10720</v>
      </c>
      <c r="H76" s="12">
        <v>1449</v>
      </c>
      <c r="I76" s="12">
        <v>12169</v>
      </c>
      <c r="K76" s="5">
        <v>43616</v>
      </c>
      <c r="L76" s="5">
        <v>44344</v>
      </c>
      <c r="M76" s="12">
        <v>1099</v>
      </c>
      <c r="N76" s="12">
        <v>262</v>
      </c>
      <c r="O76" s="12">
        <v>1361</v>
      </c>
      <c r="P76" s="9">
        <v>0.11422929009458471</v>
      </c>
      <c r="Q76" s="9">
        <v>0.22072451558550976</v>
      </c>
      <c r="R76" s="13">
        <v>0.12592524056254617</v>
      </c>
    </row>
    <row r="77" spans="1:18" ht="12.6" customHeight="1" x14ac:dyDescent="0.2">
      <c r="A77" s="5">
        <v>43614</v>
      </c>
      <c r="B77" s="12">
        <v>13529</v>
      </c>
      <c r="C77" s="12">
        <v>1627</v>
      </c>
      <c r="D77" s="12">
        <v>15156</v>
      </c>
      <c r="F77" s="5">
        <v>44345</v>
      </c>
      <c r="G77" s="21">
        <v>10568</v>
      </c>
      <c r="H77" s="21">
        <v>598</v>
      </c>
      <c r="I77" s="21">
        <v>11166</v>
      </c>
      <c r="K77" s="5">
        <v>43617</v>
      </c>
      <c r="L77" s="5">
        <v>44345</v>
      </c>
      <c r="M77" s="12">
        <v>1312</v>
      </c>
      <c r="N77" s="12">
        <v>-21</v>
      </c>
      <c r="O77" s="12">
        <v>1291</v>
      </c>
      <c r="P77" s="9">
        <v>0.14174589455488329</v>
      </c>
      <c r="Q77" s="9">
        <v>-3.3925686591276261E-2</v>
      </c>
      <c r="R77" s="13">
        <v>0.13073417721518998</v>
      </c>
    </row>
    <row r="78" spans="1:18" ht="12.6" customHeight="1" x14ac:dyDescent="0.2">
      <c r="A78" s="5">
        <v>43615</v>
      </c>
      <c r="B78" s="12">
        <v>16479</v>
      </c>
      <c r="C78" s="12">
        <v>378</v>
      </c>
      <c r="D78" s="12">
        <v>16857</v>
      </c>
      <c r="F78" s="5">
        <v>44346</v>
      </c>
      <c r="G78" s="21">
        <v>8697</v>
      </c>
      <c r="H78" s="21">
        <v>71</v>
      </c>
      <c r="I78" s="21">
        <v>8768</v>
      </c>
      <c r="K78" s="5">
        <v>43618</v>
      </c>
      <c r="L78" s="5">
        <v>44346</v>
      </c>
      <c r="M78" s="12">
        <v>-547</v>
      </c>
      <c r="N78" s="12">
        <v>-120</v>
      </c>
      <c r="O78" s="12">
        <v>-667</v>
      </c>
      <c r="P78" s="9">
        <v>-5.9173517957594068E-2</v>
      </c>
      <c r="Q78" s="9">
        <v>-0.62827225130890052</v>
      </c>
      <c r="R78" s="13">
        <v>-7.0694223635400122E-2</v>
      </c>
    </row>
    <row r="79" spans="1:18" ht="12.6" customHeight="1" x14ac:dyDescent="0.2">
      <c r="A79" s="5">
        <v>43616</v>
      </c>
      <c r="B79" s="12">
        <v>9621</v>
      </c>
      <c r="C79" s="12">
        <v>1187</v>
      </c>
      <c r="D79" s="12">
        <v>10808</v>
      </c>
      <c r="F79" s="5">
        <v>44347</v>
      </c>
      <c r="G79" s="21">
        <v>5990</v>
      </c>
      <c r="H79" s="21">
        <v>1196</v>
      </c>
      <c r="I79" s="21">
        <v>7186</v>
      </c>
      <c r="K79" s="5">
        <v>43619</v>
      </c>
      <c r="L79" s="5">
        <v>44347</v>
      </c>
      <c r="M79" s="12">
        <f t="shared" ref="M79:O79" si="2">G79-B82</f>
        <v>-785</v>
      </c>
      <c r="N79" s="12">
        <f t="shared" si="2"/>
        <v>-38</v>
      </c>
      <c r="O79" s="12">
        <f t="shared" si="2"/>
        <v>-823</v>
      </c>
      <c r="P79" s="9">
        <f t="shared" ref="P79:R79" si="3">G79/B82-1</f>
        <v>-0.1158671586715867</v>
      </c>
      <c r="Q79" s="9">
        <f t="shared" si="3"/>
        <v>-3.0794165316045397E-2</v>
      </c>
      <c r="R79" s="13">
        <f t="shared" si="3"/>
        <v>-0.10275939567986014</v>
      </c>
    </row>
    <row r="80" spans="1:18" x14ac:dyDescent="0.2">
      <c r="A80" s="5">
        <v>43617</v>
      </c>
      <c r="B80" s="12">
        <v>9256</v>
      </c>
      <c r="C80" s="12">
        <v>619</v>
      </c>
      <c r="D80" s="12">
        <v>9875</v>
      </c>
      <c r="F80" s="5"/>
      <c r="G80" s="12"/>
      <c r="H80" s="12"/>
      <c r="I80" s="12"/>
      <c r="L80" s="5"/>
      <c r="M80" s="20"/>
      <c r="N80" s="20"/>
      <c r="O80" s="20"/>
      <c r="P80" s="20"/>
      <c r="Q80" s="20"/>
      <c r="R80" s="20"/>
    </row>
    <row r="81" spans="1:18" x14ac:dyDescent="0.2">
      <c r="A81" s="5">
        <v>43618</v>
      </c>
      <c r="B81" s="12">
        <v>9244</v>
      </c>
      <c r="C81" s="12">
        <v>191</v>
      </c>
      <c r="D81" s="12">
        <v>9435</v>
      </c>
      <c r="F81" s="5"/>
      <c r="G81" s="12"/>
      <c r="H81" s="12"/>
      <c r="I81" s="12"/>
      <c r="K81" s="5"/>
      <c r="L81" s="5"/>
      <c r="M81" s="20"/>
      <c r="N81" s="20"/>
      <c r="O81" s="20"/>
      <c r="P81" s="20"/>
      <c r="Q81" s="20"/>
      <c r="R81" s="20"/>
    </row>
    <row r="82" spans="1:18" x14ac:dyDescent="0.2">
      <c r="A82" s="5">
        <v>43619</v>
      </c>
      <c r="B82" s="12">
        <v>6775</v>
      </c>
      <c r="C82" s="12">
        <v>1234</v>
      </c>
      <c r="D82" s="12">
        <v>8009</v>
      </c>
      <c r="F82" s="5"/>
      <c r="G82" s="12"/>
      <c r="H82" s="12"/>
      <c r="I82" s="12"/>
      <c r="K82" s="5"/>
      <c r="L82" s="5"/>
      <c r="M82" s="20"/>
      <c r="N82" s="20"/>
      <c r="O82" s="20"/>
      <c r="P82" s="20"/>
      <c r="Q82" s="20"/>
      <c r="R82" s="20"/>
    </row>
    <row r="83" spans="1:18" x14ac:dyDescent="0.2">
      <c r="A83" s="5"/>
      <c r="B83" s="2"/>
      <c r="C83" s="2"/>
      <c r="D83" s="2"/>
      <c r="F83" s="5"/>
      <c r="G83" s="2"/>
      <c r="H83" s="2"/>
      <c r="I83" s="2"/>
      <c r="L83" s="5"/>
      <c r="M83" s="14"/>
      <c r="N83" s="14"/>
      <c r="O83" s="14"/>
      <c r="P83" s="14"/>
      <c r="Q83" s="14"/>
      <c r="R83" s="14"/>
    </row>
    <row r="84" spans="1:18" x14ac:dyDescent="0.2">
      <c r="B84" s="2"/>
      <c r="C84" s="2"/>
      <c r="G84" s="2"/>
      <c r="H84" s="2"/>
    </row>
    <row r="85" spans="1:18" ht="12.95" customHeight="1" x14ac:dyDescent="0.2">
      <c r="A85" s="26" t="s">
        <v>24</v>
      </c>
      <c r="B85" s="6"/>
      <c r="C85" s="6"/>
      <c r="D85" s="3"/>
      <c r="F85" s="26" t="s">
        <v>24</v>
      </c>
      <c r="G85" s="6"/>
      <c r="H85" s="6"/>
      <c r="I85" s="3"/>
      <c r="K85" s="26" t="s">
        <v>25</v>
      </c>
      <c r="L85" s="26"/>
      <c r="M85" s="6"/>
      <c r="N85" s="6"/>
      <c r="O85" s="3"/>
      <c r="P85" s="6"/>
      <c r="Q85" s="6"/>
      <c r="R85" s="3"/>
    </row>
    <row r="86" spans="1:18" ht="24" customHeight="1" x14ac:dyDescent="0.2">
      <c r="A86" s="27"/>
      <c r="B86" s="8" t="s">
        <v>38</v>
      </c>
      <c r="C86" s="4" t="s">
        <v>2</v>
      </c>
      <c r="D86" s="4" t="s">
        <v>0</v>
      </c>
      <c r="F86" s="27"/>
      <c r="G86" s="8" t="s">
        <v>38</v>
      </c>
      <c r="H86" s="4" t="s">
        <v>2</v>
      </c>
      <c r="I86" s="4" t="s">
        <v>0</v>
      </c>
      <c r="K86" s="27"/>
      <c r="L86" s="27"/>
      <c r="M86" s="8" t="s">
        <v>38</v>
      </c>
      <c r="N86" s="4" t="s">
        <v>2</v>
      </c>
      <c r="O86" s="4" t="s">
        <v>0</v>
      </c>
      <c r="P86" s="8" t="s">
        <v>38</v>
      </c>
      <c r="Q86" s="4" t="s">
        <v>2</v>
      </c>
      <c r="R86" s="4" t="s">
        <v>0</v>
      </c>
    </row>
    <row r="87" spans="1:18" x14ac:dyDescent="0.2">
      <c r="A87" s="5">
        <v>43586</v>
      </c>
      <c r="B87" s="12">
        <v>8456</v>
      </c>
      <c r="C87" s="12">
        <v>439</v>
      </c>
      <c r="D87" s="12">
        <v>8895</v>
      </c>
      <c r="F87" s="5">
        <v>44317</v>
      </c>
      <c r="G87" s="12">
        <v>5610</v>
      </c>
      <c r="H87" s="12">
        <v>160</v>
      </c>
      <c r="I87" s="12">
        <v>5770</v>
      </c>
      <c r="K87" s="5">
        <v>43589</v>
      </c>
      <c r="L87" s="5">
        <v>44317</v>
      </c>
      <c r="M87" s="22">
        <v>-6135</v>
      </c>
      <c r="N87" s="22">
        <v>-776</v>
      </c>
      <c r="O87" s="22">
        <v>-6911</v>
      </c>
      <c r="P87" s="23">
        <v>-0.52234993614303959</v>
      </c>
      <c r="Q87" s="23">
        <v>-0.829059829059829</v>
      </c>
      <c r="R87" s="13">
        <v>-0.54498856557053865</v>
      </c>
    </row>
    <row r="88" spans="1:18" x14ac:dyDescent="0.2">
      <c r="A88" s="5">
        <v>43587</v>
      </c>
      <c r="B88" s="12">
        <v>7409</v>
      </c>
      <c r="C88" s="12">
        <v>1594</v>
      </c>
      <c r="D88" s="12">
        <v>9003</v>
      </c>
      <c r="F88" s="5">
        <v>44318</v>
      </c>
      <c r="G88" s="12">
        <v>9225</v>
      </c>
      <c r="H88" s="12">
        <v>64</v>
      </c>
      <c r="I88" s="12">
        <v>9289</v>
      </c>
      <c r="K88" s="5">
        <v>43590</v>
      </c>
      <c r="L88" s="5">
        <v>44318</v>
      </c>
      <c r="M88" s="22">
        <v>-3599</v>
      </c>
      <c r="N88" s="22">
        <v>-199</v>
      </c>
      <c r="O88" s="22">
        <v>-3798</v>
      </c>
      <c r="P88" s="23">
        <v>-0.28064566437928884</v>
      </c>
      <c r="Q88" s="23">
        <v>-0.75665399239543729</v>
      </c>
      <c r="R88" s="13">
        <v>-0.29021166042637736</v>
      </c>
    </row>
    <row r="89" spans="1:18" x14ac:dyDescent="0.2">
      <c r="A89" s="5">
        <v>43588</v>
      </c>
      <c r="B89" s="12">
        <v>9673</v>
      </c>
      <c r="C89" s="12">
        <v>1360</v>
      </c>
      <c r="D89" s="12">
        <v>11033</v>
      </c>
      <c r="F89" s="5">
        <v>44319</v>
      </c>
      <c r="G89" s="12">
        <v>6012</v>
      </c>
      <c r="H89" s="12">
        <v>1688</v>
      </c>
      <c r="I89" s="12">
        <v>7700</v>
      </c>
      <c r="K89" s="5">
        <v>43591</v>
      </c>
      <c r="L89" s="5">
        <v>44319</v>
      </c>
      <c r="M89" s="22">
        <v>-1316</v>
      </c>
      <c r="N89" s="22">
        <v>192</v>
      </c>
      <c r="O89" s="22">
        <v>-1124</v>
      </c>
      <c r="P89" s="23">
        <v>-0.17958515283842791</v>
      </c>
      <c r="Q89" s="23">
        <v>0.12834224598930488</v>
      </c>
      <c r="R89" s="13">
        <v>-0.12737987307343612</v>
      </c>
    </row>
    <row r="90" spans="1:18" x14ac:dyDescent="0.2">
      <c r="A90" s="5">
        <v>43589</v>
      </c>
      <c r="B90" s="12">
        <v>11745</v>
      </c>
      <c r="C90" s="12">
        <v>936</v>
      </c>
      <c r="D90" s="12">
        <v>12681</v>
      </c>
      <c r="F90" s="5">
        <v>44320</v>
      </c>
      <c r="G90" s="12">
        <v>5078</v>
      </c>
      <c r="H90" s="12">
        <v>1676</v>
      </c>
      <c r="I90" s="12">
        <v>6754</v>
      </c>
      <c r="K90" s="5">
        <v>43592</v>
      </c>
      <c r="L90" s="5">
        <v>44320</v>
      </c>
      <c r="M90" s="22">
        <v>-507</v>
      </c>
      <c r="N90" s="22">
        <v>14</v>
      </c>
      <c r="O90" s="22">
        <v>-493</v>
      </c>
      <c r="P90" s="23">
        <v>-9.0778871978513864E-2</v>
      </c>
      <c r="Q90" s="23">
        <v>8.4235860409145324E-3</v>
      </c>
      <c r="R90" s="13">
        <v>-6.8028149579136166E-2</v>
      </c>
    </row>
    <row r="91" spans="1:18" x14ac:dyDescent="0.2">
      <c r="A91" s="5">
        <v>43590</v>
      </c>
      <c r="B91" s="12">
        <v>12824</v>
      </c>
      <c r="C91" s="12">
        <v>263</v>
      </c>
      <c r="D91" s="12">
        <v>13087</v>
      </c>
      <c r="F91" s="5">
        <v>44321</v>
      </c>
      <c r="G91" s="12">
        <v>5151</v>
      </c>
      <c r="H91" s="12">
        <v>1690</v>
      </c>
      <c r="I91" s="12">
        <v>6841</v>
      </c>
      <c r="K91" s="5">
        <v>43593</v>
      </c>
      <c r="L91" s="5">
        <v>44321</v>
      </c>
      <c r="M91" s="22">
        <v>-360</v>
      </c>
      <c r="N91" s="22">
        <v>-16</v>
      </c>
      <c r="O91" s="22">
        <v>-376</v>
      </c>
      <c r="P91" s="23">
        <v>-6.532389765922697E-2</v>
      </c>
      <c r="Q91" s="23">
        <v>-9.3786635404454755E-3</v>
      </c>
      <c r="R91" s="13">
        <v>-5.2099210198143231E-2</v>
      </c>
    </row>
    <row r="92" spans="1:18" x14ac:dyDescent="0.2">
      <c r="A92" s="5">
        <v>43591</v>
      </c>
      <c r="B92" s="12">
        <v>7328</v>
      </c>
      <c r="C92" s="12">
        <v>1496</v>
      </c>
      <c r="D92" s="12">
        <v>8824</v>
      </c>
      <c r="F92" s="5">
        <v>44322</v>
      </c>
      <c r="G92" s="12">
        <v>5596</v>
      </c>
      <c r="H92" s="12">
        <v>1475</v>
      </c>
      <c r="I92" s="12">
        <v>7071</v>
      </c>
      <c r="K92" s="5">
        <v>43594</v>
      </c>
      <c r="L92" s="5">
        <v>44322</v>
      </c>
      <c r="M92" s="22">
        <v>302</v>
      </c>
      <c r="N92" s="22">
        <v>-136</v>
      </c>
      <c r="O92" s="22">
        <v>166</v>
      </c>
      <c r="P92" s="23">
        <v>5.7045712126936099E-2</v>
      </c>
      <c r="Q92" s="23">
        <v>-8.4419615145872151E-2</v>
      </c>
      <c r="R92" s="13">
        <v>2.4040550325850729E-2</v>
      </c>
    </row>
    <row r="93" spans="1:18" x14ac:dyDescent="0.2">
      <c r="A93" s="5">
        <v>43592</v>
      </c>
      <c r="B93" s="12">
        <v>5585</v>
      </c>
      <c r="C93" s="12">
        <v>1662</v>
      </c>
      <c r="D93" s="12">
        <v>7247</v>
      </c>
      <c r="F93" s="5">
        <v>44323</v>
      </c>
      <c r="G93" s="12">
        <v>7253</v>
      </c>
      <c r="H93" s="12">
        <v>1301</v>
      </c>
      <c r="I93" s="12">
        <v>8554</v>
      </c>
      <c r="K93" s="5">
        <v>43595</v>
      </c>
      <c r="L93" s="5">
        <v>44323</v>
      </c>
      <c r="M93" s="22">
        <v>537</v>
      </c>
      <c r="N93" s="22">
        <v>-61</v>
      </c>
      <c r="O93" s="22">
        <v>476</v>
      </c>
      <c r="P93" s="23">
        <v>7.9958308516974386E-2</v>
      </c>
      <c r="Q93" s="23">
        <v>-4.4787077826725419E-2</v>
      </c>
      <c r="R93" s="13">
        <v>5.8925476603119531E-2</v>
      </c>
    </row>
    <row r="94" spans="1:18" x14ac:dyDescent="0.2">
      <c r="A94" s="5">
        <v>43593</v>
      </c>
      <c r="B94" s="12">
        <v>5511</v>
      </c>
      <c r="C94" s="12">
        <v>1706</v>
      </c>
      <c r="D94" s="12">
        <v>7217</v>
      </c>
      <c r="F94" s="5">
        <v>44324</v>
      </c>
      <c r="G94" s="12">
        <v>8789</v>
      </c>
      <c r="H94" s="12">
        <v>751</v>
      </c>
      <c r="I94" s="12">
        <v>9540</v>
      </c>
      <c r="K94" s="5">
        <v>43596</v>
      </c>
      <c r="L94" s="5">
        <v>44324</v>
      </c>
      <c r="M94" s="22">
        <v>1054</v>
      </c>
      <c r="N94" s="22">
        <v>-149</v>
      </c>
      <c r="O94" s="22">
        <v>905</v>
      </c>
      <c r="P94" s="23">
        <v>0.13626373626373622</v>
      </c>
      <c r="Q94" s="23">
        <v>-0.16555555555555557</v>
      </c>
      <c r="R94" s="13">
        <v>0.10480602200347433</v>
      </c>
    </row>
    <row r="95" spans="1:18" x14ac:dyDescent="0.2">
      <c r="A95" s="5">
        <v>43594</v>
      </c>
      <c r="B95" s="12">
        <v>5294</v>
      </c>
      <c r="C95" s="12">
        <v>1611</v>
      </c>
      <c r="D95" s="12">
        <v>6905</v>
      </c>
      <c r="F95" s="5">
        <v>44325</v>
      </c>
      <c r="G95" s="12">
        <v>11458</v>
      </c>
      <c r="H95" s="12">
        <v>100</v>
      </c>
      <c r="I95" s="12">
        <v>11558</v>
      </c>
      <c r="K95" s="5">
        <v>43597</v>
      </c>
      <c r="L95" s="5">
        <v>44325</v>
      </c>
      <c r="M95" s="22">
        <v>-629</v>
      </c>
      <c r="N95" s="22">
        <v>-146</v>
      </c>
      <c r="O95" s="22">
        <v>-775</v>
      </c>
      <c r="P95" s="23">
        <v>-5.2039381153305198E-2</v>
      </c>
      <c r="Q95" s="23">
        <v>-0.5934959349593496</v>
      </c>
      <c r="R95" s="13">
        <v>-6.2839536203681212E-2</v>
      </c>
    </row>
    <row r="96" spans="1:18" x14ac:dyDescent="0.2">
      <c r="A96" s="5">
        <v>43595</v>
      </c>
      <c r="B96" s="12">
        <v>6716</v>
      </c>
      <c r="C96" s="12">
        <v>1362</v>
      </c>
      <c r="D96" s="12">
        <v>8078</v>
      </c>
      <c r="F96" s="5">
        <v>44326</v>
      </c>
      <c r="G96" s="12">
        <v>5701</v>
      </c>
      <c r="H96" s="12">
        <v>1567</v>
      </c>
      <c r="I96" s="12">
        <v>7268</v>
      </c>
      <c r="K96" s="5">
        <v>43598</v>
      </c>
      <c r="L96" s="5">
        <v>44326</v>
      </c>
      <c r="M96" s="12">
        <v>-1292</v>
      </c>
      <c r="N96" s="12">
        <v>212</v>
      </c>
      <c r="O96" s="12">
        <v>-1080</v>
      </c>
      <c r="P96" s="9">
        <v>-0.18475618475618472</v>
      </c>
      <c r="Q96" s="9">
        <v>0.15645756457564586</v>
      </c>
      <c r="R96" s="13">
        <v>-0.12937230474365113</v>
      </c>
    </row>
    <row r="97" spans="1:18" x14ac:dyDescent="0.2">
      <c r="A97" s="5">
        <v>43596</v>
      </c>
      <c r="B97" s="12">
        <v>7735</v>
      </c>
      <c r="C97" s="12">
        <v>900</v>
      </c>
      <c r="D97" s="12">
        <v>8635</v>
      </c>
      <c r="F97" s="5">
        <v>44327</v>
      </c>
      <c r="G97" s="12">
        <v>3777</v>
      </c>
      <c r="H97" s="12">
        <v>1663</v>
      </c>
      <c r="I97" s="12">
        <v>5440</v>
      </c>
      <c r="K97" s="5">
        <v>43599</v>
      </c>
      <c r="L97" s="5">
        <v>44327</v>
      </c>
      <c r="M97" s="12">
        <v>-1440</v>
      </c>
      <c r="N97" s="12">
        <v>-34</v>
      </c>
      <c r="O97" s="12">
        <v>-1474</v>
      </c>
      <c r="P97" s="9">
        <v>-0.27602070155261649</v>
      </c>
      <c r="Q97" s="9">
        <v>-2.0035356511490909E-2</v>
      </c>
      <c r="R97" s="13">
        <v>-0.2131906277118889</v>
      </c>
    </row>
    <row r="98" spans="1:18" x14ac:dyDescent="0.2">
      <c r="A98" s="5">
        <v>43597</v>
      </c>
      <c r="B98" s="12">
        <v>12087</v>
      </c>
      <c r="C98" s="12">
        <v>246</v>
      </c>
      <c r="D98" s="12">
        <v>12333</v>
      </c>
      <c r="F98" s="5">
        <v>44328</v>
      </c>
      <c r="G98" s="12">
        <v>4537</v>
      </c>
      <c r="H98" s="12">
        <v>1387</v>
      </c>
      <c r="I98" s="12">
        <v>5924</v>
      </c>
      <c r="K98" s="5">
        <v>43600</v>
      </c>
      <c r="L98" s="5">
        <v>44328</v>
      </c>
      <c r="M98" s="12">
        <v>-964</v>
      </c>
      <c r="N98" s="12">
        <v>-337</v>
      </c>
      <c r="O98" s="12">
        <v>-1301</v>
      </c>
      <c r="P98" s="9">
        <v>-0.17524086529721872</v>
      </c>
      <c r="Q98" s="9">
        <v>-0.19547563805104406</v>
      </c>
      <c r="R98" s="13">
        <v>-0.18006920415224914</v>
      </c>
    </row>
    <row r="99" spans="1:18" x14ac:dyDescent="0.2">
      <c r="A99" s="5">
        <v>43598</v>
      </c>
      <c r="B99" s="12">
        <v>6993</v>
      </c>
      <c r="C99" s="12">
        <v>1355</v>
      </c>
      <c r="D99" s="12">
        <v>8348</v>
      </c>
      <c r="F99" s="5">
        <v>44329</v>
      </c>
      <c r="G99" s="12">
        <v>6475</v>
      </c>
      <c r="H99" s="12">
        <v>77</v>
      </c>
      <c r="I99" s="12">
        <v>6552</v>
      </c>
      <c r="K99" s="5">
        <v>43601</v>
      </c>
      <c r="L99" s="5">
        <v>44329</v>
      </c>
      <c r="M99" s="12">
        <v>443</v>
      </c>
      <c r="N99" s="12">
        <v>-1552</v>
      </c>
      <c r="O99" s="12">
        <v>-1109</v>
      </c>
      <c r="P99" s="9">
        <v>7.3441644562334263E-2</v>
      </c>
      <c r="Q99" s="9">
        <v>-0.95273173726212401</v>
      </c>
      <c r="R99" s="13">
        <v>-0.14475916982117221</v>
      </c>
    </row>
    <row r="100" spans="1:18" x14ac:dyDescent="0.2">
      <c r="A100" s="5">
        <v>43599</v>
      </c>
      <c r="B100" s="12">
        <v>5217</v>
      </c>
      <c r="C100" s="12">
        <v>1697</v>
      </c>
      <c r="D100" s="12">
        <v>6914</v>
      </c>
      <c r="F100" s="5">
        <v>44330</v>
      </c>
      <c r="G100" s="12">
        <v>6295</v>
      </c>
      <c r="H100" s="12">
        <v>1508</v>
      </c>
      <c r="I100" s="12">
        <v>7803</v>
      </c>
      <c r="K100" s="5">
        <v>43602</v>
      </c>
      <c r="L100" s="5">
        <v>44330</v>
      </c>
      <c r="M100" s="12">
        <v>-1149</v>
      </c>
      <c r="N100" s="12">
        <v>126</v>
      </c>
      <c r="O100" s="12">
        <v>-1023</v>
      </c>
      <c r="P100" s="9">
        <v>-0.15435249865663625</v>
      </c>
      <c r="Q100" s="9">
        <v>9.1172214182344335E-2</v>
      </c>
      <c r="R100" s="13">
        <v>-0.11590754588715158</v>
      </c>
    </row>
    <row r="101" spans="1:18" x14ac:dyDescent="0.2">
      <c r="A101" s="5">
        <v>43600</v>
      </c>
      <c r="B101" s="12">
        <v>5501</v>
      </c>
      <c r="C101" s="12">
        <v>1724</v>
      </c>
      <c r="D101" s="12">
        <v>7225</v>
      </c>
      <c r="F101" s="5">
        <v>44331</v>
      </c>
      <c r="G101" s="12">
        <v>10083</v>
      </c>
      <c r="H101" s="12">
        <v>708</v>
      </c>
      <c r="I101" s="12">
        <v>10791</v>
      </c>
      <c r="K101" s="5">
        <v>43603</v>
      </c>
      <c r="L101" s="5">
        <v>44331</v>
      </c>
      <c r="M101" s="12">
        <v>2181</v>
      </c>
      <c r="N101" s="12">
        <v>-209</v>
      </c>
      <c r="O101" s="12">
        <v>1972</v>
      </c>
      <c r="P101" s="9">
        <v>0.27600607441154135</v>
      </c>
      <c r="Q101" s="9">
        <v>-0.22791712104689199</v>
      </c>
      <c r="R101" s="13">
        <v>0.22360811883433507</v>
      </c>
    </row>
    <row r="102" spans="1:18" x14ac:dyDescent="0.2">
      <c r="A102" s="5">
        <v>43601</v>
      </c>
      <c r="B102" s="12">
        <v>6032</v>
      </c>
      <c r="C102" s="12">
        <v>1629</v>
      </c>
      <c r="D102" s="12">
        <v>7661</v>
      </c>
      <c r="F102" s="5">
        <v>44332</v>
      </c>
      <c r="G102" s="12">
        <v>14244</v>
      </c>
      <c r="H102" s="12">
        <v>69</v>
      </c>
      <c r="I102" s="12">
        <v>14313</v>
      </c>
      <c r="K102" s="5">
        <v>43604</v>
      </c>
      <c r="L102" s="5">
        <v>44332</v>
      </c>
      <c r="M102" s="12">
        <v>3257</v>
      </c>
      <c r="N102" s="12">
        <v>-145</v>
      </c>
      <c r="O102" s="12">
        <v>3112</v>
      </c>
      <c r="P102" s="9">
        <v>0.29644124874852107</v>
      </c>
      <c r="Q102" s="9">
        <v>-0.67757009345794394</v>
      </c>
      <c r="R102" s="13">
        <v>0.27783233639853577</v>
      </c>
    </row>
    <row r="103" spans="1:18" x14ac:dyDescent="0.2">
      <c r="A103" s="5">
        <v>43602</v>
      </c>
      <c r="B103" s="12">
        <v>7444</v>
      </c>
      <c r="C103" s="12">
        <v>1382</v>
      </c>
      <c r="D103" s="12">
        <v>8826</v>
      </c>
      <c r="F103" s="5">
        <v>44333</v>
      </c>
      <c r="G103" s="12">
        <v>8152</v>
      </c>
      <c r="H103" s="12">
        <v>1502</v>
      </c>
      <c r="I103" s="12">
        <v>9654</v>
      </c>
      <c r="K103" s="5">
        <v>43605</v>
      </c>
      <c r="L103" s="5">
        <v>44333</v>
      </c>
      <c r="M103" s="12">
        <v>1766</v>
      </c>
      <c r="N103" s="12">
        <v>60</v>
      </c>
      <c r="O103" s="12">
        <v>1826</v>
      </c>
      <c r="P103" s="9">
        <v>0.27654243658001887</v>
      </c>
      <c r="Q103" s="9">
        <v>4.1608876560332853E-2</v>
      </c>
      <c r="R103" s="13">
        <v>0.23326520183955024</v>
      </c>
    </row>
    <row r="104" spans="1:18" x14ac:dyDescent="0.2">
      <c r="A104" s="5">
        <v>43603</v>
      </c>
      <c r="B104" s="12">
        <v>7902</v>
      </c>
      <c r="C104" s="12">
        <v>917</v>
      </c>
      <c r="D104" s="12">
        <v>8819</v>
      </c>
      <c r="F104" s="5">
        <v>44334</v>
      </c>
      <c r="G104" s="12">
        <v>5467</v>
      </c>
      <c r="H104" s="12">
        <v>1670</v>
      </c>
      <c r="I104" s="12">
        <v>7137</v>
      </c>
      <c r="K104" s="5">
        <v>43606</v>
      </c>
      <c r="L104" s="5">
        <v>44334</v>
      </c>
      <c r="M104" s="12">
        <v>608</v>
      </c>
      <c r="N104" s="12">
        <v>30</v>
      </c>
      <c r="O104" s="12">
        <v>638</v>
      </c>
      <c r="P104" s="9">
        <v>0.12512862728956575</v>
      </c>
      <c r="Q104" s="9">
        <v>1.8292682926829285E-2</v>
      </c>
      <c r="R104" s="13">
        <v>9.8168949069087574E-2</v>
      </c>
    </row>
    <row r="105" spans="1:18" x14ac:dyDescent="0.2">
      <c r="A105" s="5">
        <v>43604</v>
      </c>
      <c r="B105" s="12">
        <v>10987</v>
      </c>
      <c r="C105" s="12">
        <v>214</v>
      </c>
      <c r="D105" s="12">
        <v>11201</v>
      </c>
      <c r="F105" s="5">
        <v>44335</v>
      </c>
      <c r="G105" s="12">
        <v>6166</v>
      </c>
      <c r="H105" s="12">
        <v>1460</v>
      </c>
      <c r="I105" s="12">
        <v>7626</v>
      </c>
      <c r="K105" s="5">
        <v>43607</v>
      </c>
      <c r="L105" s="5">
        <v>44335</v>
      </c>
      <c r="M105" s="12">
        <v>1067</v>
      </c>
      <c r="N105" s="12">
        <v>-249</v>
      </c>
      <c r="O105" s="12">
        <v>818</v>
      </c>
      <c r="P105" s="9">
        <v>0.20925671700333393</v>
      </c>
      <c r="Q105" s="9">
        <v>-0.14569923932124051</v>
      </c>
      <c r="R105" s="13">
        <v>0.12015276145710918</v>
      </c>
    </row>
    <row r="106" spans="1:18" x14ac:dyDescent="0.2">
      <c r="A106" s="5">
        <v>43605</v>
      </c>
      <c r="B106" s="12">
        <v>6386</v>
      </c>
      <c r="C106" s="12">
        <v>1442</v>
      </c>
      <c r="D106" s="12">
        <v>7828</v>
      </c>
      <c r="F106" s="5">
        <v>44336</v>
      </c>
      <c r="G106" s="12">
        <v>6705</v>
      </c>
      <c r="H106" s="12">
        <v>1536</v>
      </c>
      <c r="I106" s="12">
        <v>8241</v>
      </c>
      <c r="K106" s="5">
        <v>43608</v>
      </c>
      <c r="L106" s="5">
        <v>44336</v>
      </c>
      <c r="M106" s="12">
        <v>1006</v>
      </c>
      <c r="N106" s="12">
        <v>-64</v>
      </c>
      <c r="O106" s="12">
        <v>942</v>
      </c>
      <c r="P106" s="9">
        <v>0.17652219687664505</v>
      </c>
      <c r="Q106" s="9">
        <v>-4.0000000000000036E-2</v>
      </c>
      <c r="R106" s="13">
        <v>0.12905877517468145</v>
      </c>
    </row>
    <row r="107" spans="1:18" x14ac:dyDescent="0.2">
      <c r="A107" s="5">
        <v>43606</v>
      </c>
      <c r="B107" s="12">
        <v>4859</v>
      </c>
      <c r="C107" s="12">
        <v>1640</v>
      </c>
      <c r="D107" s="12">
        <v>6499</v>
      </c>
      <c r="F107" s="5">
        <v>44337</v>
      </c>
      <c r="G107" s="12">
        <v>7758</v>
      </c>
      <c r="H107" s="12">
        <v>1312</v>
      </c>
      <c r="I107" s="12">
        <v>9070</v>
      </c>
      <c r="K107" s="5">
        <v>43609</v>
      </c>
      <c r="L107" s="5">
        <v>44337</v>
      </c>
      <c r="M107" s="12">
        <v>1026</v>
      </c>
      <c r="N107" s="12">
        <v>-66</v>
      </c>
      <c r="O107" s="12">
        <v>960</v>
      </c>
      <c r="P107" s="9">
        <v>0.15240641711229941</v>
      </c>
      <c r="Q107" s="9">
        <v>-4.7895500725689377E-2</v>
      </c>
      <c r="R107" s="13">
        <v>0.11837237977805182</v>
      </c>
    </row>
    <row r="108" spans="1:18" x14ac:dyDescent="0.2">
      <c r="A108" s="5">
        <v>43607</v>
      </c>
      <c r="B108" s="12">
        <v>5099</v>
      </c>
      <c r="C108" s="12">
        <v>1709</v>
      </c>
      <c r="D108" s="12">
        <v>6808</v>
      </c>
      <c r="F108" s="5">
        <v>44338</v>
      </c>
      <c r="G108" s="12">
        <v>6988</v>
      </c>
      <c r="H108" s="12">
        <v>692</v>
      </c>
      <c r="I108" s="12">
        <v>7680</v>
      </c>
      <c r="K108" s="5">
        <v>43610</v>
      </c>
      <c r="L108" s="5">
        <v>44338</v>
      </c>
      <c r="M108" s="12">
        <v>-559</v>
      </c>
      <c r="N108" s="12">
        <v>-156</v>
      </c>
      <c r="O108" s="12">
        <v>-715</v>
      </c>
      <c r="P108" s="9">
        <v>-7.4069166556247512E-2</v>
      </c>
      <c r="Q108" s="9">
        <v>-0.18396226415094341</v>
      </c>
      <c r="R108" s="13">
        <v>-8.5169743895175731E-2</v>
      </c>
    </row>
    <row r="109" spans="1:18" x14ac:dyDescent="0.2">
      <c r="A109" s="5">
        <v>43608</v>
      </c>
      <c r="B109" s="12">
        <v>5699</v>
      </c>
      <c r="C109" s="12">
        <v>1600</v>
      </c>
      <c r="D109" s="12">
        <v>7299</v>
      </c>
      <c r="F109" s="5">
        <v>44339</v>
      </c>
      <c r="G109" s="12">
        <v>9926</v>
      </c>
      <c r="H109" s="12">
        <v>73</v>
      </c>
      <c r="I109" s="12">
        <v>9999</v>
      </c>
      <c r="K109" s="5">
        <v>43611</v>
      </c>
      <c r="L109" s="5">
        <v>44339</v>
      </c>
      <c r="M109" s="12">
        <v>-1723</v>
      </c>
      <c r="N109" s="12">
        <v>-163</v>
      </c>
      <c r="O109" s="12">
        <v>-1886</v>
      </c>
      <c r="P109" s="9">
        <v>-0.14790969181904023</v>
      </c>
      <c r="Q109" s="9">
        <v>-0.69067796610169485</v>
      </c>
      <c r="R109" s="13">
        <v>-0.15868742111905765</v>
      </c>
    </row>
    <row r="110" spans="1:18" x14ac:dyDescent="0.2">
      <c r="A110" s="5">
        <v>43609</v>
      </c>
      <c r="B110" s="12">
        <v>6732</v>
      </c>
      <c r="C110" s="12">
        <v>1378</v>
      </c>
      <c r="D110" s="12">
        <v>8110</v>
      </c>
      <c r="F110" s="5">
        <v>44340</v>
      </c>
      <c r="G110" s="12">
        <v>12304</v>
      </c>
      <c r="H110" s="12">
        <v>81</v>
      </c>
      <c r="I110" s="12">
        <v>12385</v>
      </c>
      <c r="K110" s="5">
        <v>43612</v>
      </c>
      <c r="L110" s="5">
        <v>44340</v>
      </c>
      <c r="M110" s="12">
        <v>4804</v>
      </c>
      <c r="N110" s="12">
        <v>-1455</v>
      </c>
      <c r="O110" s="12">
        <v>3349</v>
      </c>
      <c r="P110" s="9">
        <v>0.6405333333333334</v>
      </c>
      <c r="Q110" s="9">
        <v>-0.947265625</v>
      </c>
      <c r="R110" s="13">
        <v>0.37062859672421422</v>
      </c>
    </row>
    <row r="111" spans="1:18" x14ac:dyDescent="0.2">
      <c r="A111" s="5">
        <v>43610</v>
      </c>
      <c r="B111" s="12">
        <v>7547</v>
      </c>
      <c r="C111" s="12">
        <v>848</v>
      </c>
      <c r="D111" s="12">
        <v>8395</v>
      </c>
      <c r="F111" s="5">
        <v>44341</v>
      </c>
      <c r="G111" s="12">
        <v>7551</v>
      </c>
      <c r="H111" s="12">
        <v>2056</v>
      </c>
      <c r="I111" s="12">
        <v>9607</v>
      </c>
      <c r="K111" s="5">
        <v>43613</v>
      </c>
      <c r="L111" s="5">
        <v>44341</v>
      </c>
      <c r="M111" s="12">
        <v>2470</v>
      </c>
      <c r="N111" s="12">
        <v>339</v>
      </c>
      <c r="O111" s="12">
        <v>2809</v>
      </c>
      <c r="P111" s="9">
        <v>0.48612477858689229</v>
      </c>
      <c r="Q111" s="9">
        <v>0.19743739079790323</v>
      </c>
      <c r="R111" s="13">
        <v>0.41320976757869965</v>
      </c>
    </row>
    <row r="112" spans="1:18" x14ac:dyDescent="0.2">
      <c r="A112" s="5">
        <v>43611</v>
      </c>
      <c r="B112" s="12">
        <v>11649</v>
      </c>
      <c r="C112" s="12">
        <v>236</v>
      </c>
      <c r="D112" s="12">
        <v>11885</v>
      </c>
      <c r="F112" s="5">
        <v>44342</v>
      </c>
      <c r="G112" s="12">
        <v>5657</v>
      </c>
      <c r="H112" s="12">
        <v>1591</v>
      </c>
      <c r="I112" s="12">
        <v>7248</v>
      </c>
      <c r="K112" s="5">
        <v>43614</v>
      </c>
      <c r="L112" s="5">
        <v>44342</v>
      </c>
      <c r="M112" s="12">
        <v>406</v>
      </c>
      <c r="N112" s="12">
        <v>171</v>
      </c>
      <c r="O112" s="12">
        <v>577</v>
      </c>
      <c r="P112" s="9">
        <v>7.7318605979813437E-2</v>
      </c>
      <c r="Q112" s="9">
        <v>0.12042253521126756</v>
      </c>
      <c r="R112" s="13">
        <v>8.6493779043621544E-2</v>
      </c>
    </row>
    <row r="113" spans="1:18" x14ac:dyDescent="0.2">
      <c r="A113" s="5">
        <v>43612</v>
      </c>
      <c r="B113" s="12">
        <v>7500</v>
      </c>
      <c r="C113" s="12">
        <v>1536</v>
      </c>
      <c r="D113" s="12">
        <v>9036</v>
      </c>
      <c r="F113" s="5">
        <v>44343</v>
      </c>
      <c r="G113" s="12">
        <v>6059</v>
      </c>
      <c r="H113" s="12">
        <v>1531</v>
      </c>
      <c r="I113" s="12">
        <v>7590</v>
      </c>
      <c r="K113" s="5">
        <v>43615</v>
      </c>
      <c r="L113" s="5">
        <v>44343</v>
      </c>
      <c r="M113" s="12">
        <v>314</v>
      </c>
      <c r="N113" s="12">
        <v>1331</v>
      </c>
      <c r="O113" s="12">
        <v>1645</v>
      </c>
      <c r="P113" s="9">
        <v>5.4656222802436982E-2</v>
      </c>
      <c r="Q113" s="9">
        <v>6.6550000000000002</v>
      </c>
      <c r="R113" s="13">
        <v>0.27670311185870489</v>
      </c>
    </row>
    <row r="114" spans="1:18" x14ac:dyDescent="0.2">
      <c r="A114" s="5">
        <v>43613</v>
      </c>
      <c r="B114" s="12">
        <v>5081</v>
      </c>
      <c r="C114" s="12">
        <v>1717</v>
      </c>
      <c r="D114" s="12">
        <v>6798</v>
      </c>
      <c r="F114" s="5">
        <v>44344</v>
      </c>
      <c r="G114" s="12">
        <v>7418</v>
      </c>
      <c r="H114" s="12">
        <v>1387</v>
      </c>
      <c r="I114" s="12">
        <v>8805</v>
      </c>
      <c r="K114" s="5">
        <v>43616</v>
      </c>
      <c r="L114" s="5">
        <v>44344</v>
      </c>
      <c r="M114" s="12">
        <v>-601</v>
      </c>
      <c r="N114" s="12">
        <v>-168</v>
      </c>
      <c r="O114" s="12">
        <v>-769</v>
      </c>
      <c r="P114" s="9">
        <v>-7.4947000872926828E-2</v>
      </c>
      <c r="Q114" s="9">
        <v>-0.10803858520900322</v>
      </c>
      <c r="R114" s="13">
        <v>-8.0321704616670098E-2</v>
      </c>
    </row>
    <row r="115" spans="1:18" ht="12.6" customHeight="1" x14ac:dyDescent="0.2">
      <c r="A115" s="5">
        <v>43614</v>
      </c>
      <c r="B115" s="12">
        <v>5251</v>
      </c>
      <c r="C115" s="12">
        <v>1420</v>
      </c>
      <c r="D115" s="12">
        <v>6671</v>
      </c>
      <c r="F115" s="5">
        <v>44345</v>
      </c>
      <c r="G115" s="21">
        <v>9900</v>
      </c>
      <c r="H115" s="21">
        <v>751</v>
      </c>
      <c r="I115" s="21">
        <v>10651</v>
      </c>
      <c r="K115" s="5">
        <v>43617</v>
      </c>
      <c r="L115" s="5">
        <v>44345</v>
      </c>
      <c r="M115" s="12">
        <v>-2261</v>
      </c>
      <c r="N115" s="12">
        <v>-59</v>
      </c>
      <c r="O115" s="12">
        <v>-2320</v>
      </c>
      <c r="P115" s="9">
        <v>-0.18592221034454404</v>
      </c>
      <c r="Q115" s="9">
        <v>-7.2839506172839519E-2</v>
      </c>
      <c r="R115" s="13">
        <v>-0.17886053503970401</v>
      </c>
    </row>
    <row r="116" spans="1:18" ht="12.6" customHeight="1" x14ac:dyDescent="0.2">
      <c r="A116" s="5">
        <v>43615</v>
      </c>
      <c r="B116" s="12">
        <v>5745</v>
      </c>
      <c r="C116" s="12">
        <v>200</v>
      </c>
      <c r="D116" s="12">
        <v>5945</v>
      </c>
      <c r="F116" s="5">
        <v>44346</v>
      </c>
      <c r="G116" s="21">
        <v>12855</v>
      </c>
      <c r="H116" s="21">
        <v>62</v>
      </c>
      <c r="I116" s="21">
        <v>12917</v>
      </c>
      <c r="K116" s="5">
        <v>43618</v>
      </c>
      <c r="L116" s="5">
        <v>44346</v>
      </c>
      <c r="M116" s="12">
        <v>-2862</v>
      </c>
      <c r="N116" s="12">
        <v>-207</v>
      </c>
      <c r="O116" s="12">
        <v>-3069</v>
      </c>
      <c r="P116" s="9">
        <v>-0.18209581981294143</v>
      </c>
      <c r="Q116" s="9">
        <v>-0.76951672862453535</v>
      </c>
      <c r="R116" s="13">
        <v>-0.19198048292255721</v>
      </c>
    </row>
    <row r="117" spans="1:18" ht="12.6" customHeight="1" x14ac:dyDescent="0.2">
      <c r="A117" s="5">
        <v>43616</v>
      </c>
      <c r="B117" s="12">
        <v>8019</v>
      </c>
      <c r="C117" s="12">
        <v>1555</v>
      </c>
      <c r="D117" s="12">
        <v>9574</v>
      </c>
      <c r="F117" s="5">
        <v>44347</v>
      </c>
      <c r="G117" s="21">
        <v>7628</v>
      </c>
      <c r="H117" s="21">
        <v>1542</v>
      </c>
      <c r="I117" s="21">
        <v>9170</v>
      </c>
      <c r="K117" s="5">
        <v>43619</v>
      </c>
      <c r="L117" s="5">
        <v>44347</v>
      </c>
      <c r="M117" s="12">
        <f t="shared" ref="M117:O117" si="4">G117-B120</f>
        <v>-5816</v>
      </c>
      <c r="N117" s="12">
        <f t="shared" si="4"/>
        <v>-106</v>
      </c>
      <c r="O117" s="12">
        <f t="shared" si="4"/>
        <v>-5922</v>
      </c>
      <c r="P117" s="9">
        <f t="shared" ref="P117:R117" si="5">G117/B120-1</f>
        <v>-0.43260934245760185</v>
      </c>
      <c r="Q117" s="9">
        <f t="shared" si="5"/>
        <v>-6.432038834951459E-2</v>
      </c>
      <c r="R117" s="13">
        <f t="shared" si="5"/>
        <v>-0.39239332096474955</v>
      </c>
    </row>
    <row r="118" spans="1:18" x14ac:dyDescent="0.2">
      <c r="A118" s="5">
        <v>43617</v>
      </c>
      <c r="B118" s="12">
        <v>12161</v>
      </c>
      <c r="C118" s="12">
        <v>810</v>
      </c>
      <c r="D118" s="12">
        <v>12971</v>
      </c>
      <c r="F118" s="5"/>
      <c r="G118" s="12"/>
      <c r="H118" s="12"/>
      <c r="I118" s="12"/>
      <c r="L118" s="5"/>
      <c r="M118" s="20"/>
      <c r="N118" s="20"/>
      <c r="O118" s="20"/>
      <c r="P118" s="20"/>
      <c r="Q118" s="20"/>
      <c r="R118" s="20"/>
    </row>
    <row r="119" spans="1:18" x14ac:dyDescent="0.2">
      <c r="A119" s="5">
        <v>43618</v>
      </c>
      <c r="B119" s="12">
        <v>15717</v>
      </c>
      <c r="C119" s="12">
        <v>269</v>
      </c>
      <c r="D119" s="12">
        <v>15986</v>
      </c>
      <c r="F119" s="5"/>
      <c r="G119" s="12"/>
      <c r="H119" s="12"/>
      <c r="I119" s="12"/>
      <c r="K119" s="5"/>
      <c r="L119" s="5"/>
      <c r="M119" s="20"/>
      <c r="N119" s="20"/>
      <c r="O119" s="20"/>
      <c r="P119" s="20"/>
      <c r="Q119" s="20"/>
      <c r="R119" s="20"/>
    </row>
    <row r="120" spans="1:18" x14ac:dyDescent="0.2">
      <c r="A120" s="5">
        <v>43619</v>
      </c>
      <c r="B120" s="12">
        <v>13444</v>
      </c>
      <c r="C120" s="12">
        <v>1648</v>
      </c>
      <c r="D120" s="12">
        <v>15092</v>
      </c>
      <c r="F120" s="5"/>
      <c r="G120" s="12"/>
      <c r="H120" s="12"/>
      <c r="I120" s="12"/>
      <c r="K120" s="5"/>
      <c r="L120" s="5"/>
      <c r="M120" s="20"/>
      <c r="N120" s="20"/>
      <c r="O120" s="20"/>
      <c r="P120" s="13"/>
      <c r="Q120" s="13"/>
      <c r="R120" s="13"/>
    </row>
    <row r="121" spans="1:18" x14ac:dyDescent="0.2">
      <c r="A121" s="5"/>
      <c r="B121" s="12"/>
      <c r="C121" s="12"/>
      <c r="D121" s="12"/>
      <c r="F121" s="5"/>
      <c r="G121" s="12"/>
      <c r="H121" s="12"/>
      <c r="I121" s="12"/>
      <c r="K121" s="5"/>
      <c r="L121" s="5"/>
      <c r="M121" s="20"/>
      <c r="N121" s="20"/>
      <c r="O121" s="20"/>
      <c r="P121" s="13"/>
      <c r="Q121" s="13"/>
      <c r="R121" s="13"/>
    </row>
  </sheetData>
  <mergeCells count="11">
    <mergeCell ref="A85:A86"/>
    <mergeCell ref="F85:F86"/>
    <mergeCell ref="K85:L86"/>
    <mergeCell ref="A47:A48"/>
    <mergeCell ref="F47:F48"/>
    <mergeCell ref="K47:L48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7"/>
  <dimension ref="A1:R121"/>
  <sheetViews>
    <sheetView zoomScale="80" zoomScaleNormal="8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140625" customWidth="1"/>
    <col min="6" max="6" width="28.5703125" bestFit="1" customWidth="1"/>
    <col min="7" max="7" width="11.85546875" customWidth="1"/>
    <col min="8" max="8" width="7.42578125" bestFit="1" customWidth="1"/>
    <col min="9" max="9" width="15.85546875" bestFit="1" customWidth="1"/>
    <col min="10" max="10" width="0.85546875" customWidth="1"/>
    <col min="11" max="12" width="24.5703125" bestFit="1" customWidth="1"/>
    <col min="13" max="13" width="11.5703125" style="10" customWidth="1"/>
    <col min="14" max="14" width="7.42578125" style="10" bestFit="1" customWidth="1"/>
    <col min="15" max="15" width="15.85546875" style="10" bestFit="1" customWidth="1"/>
    <col min="16" max="16" width="11.5703125" style="10" customWidth="1"/>
    <col min="17" max="17" width="6.140625" style="10" bestFit="1" customWidth="1"/>
    <col min="18" max="18" width="15.85546875" style="10" bestFit="1" customWidth="1"/>
  </cols>
  <sheetData>
    <row r="1" spans="1:18" ht="15.75" x14ac:dyDescent="0.25">
      <c r="A1" s="11" t="s">
        <v>50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4" t="s">
        <v>47</v>
      </c>
      <c r="B6" s="25"/>
      <c r="C6" s="25"/>
      <c r="D6" s="25"/>
      <c r="E6" s="17"/>
      <c r="F6" s="17"/>
      <c r="G6" s="17"/>
    </row>
    <row r="7" spans="1:18" ht="15" x14ac:dyDescent="0.2">
      <c r="A7" s="24" t="s">
        <v>48</v>
      </c>
      <c r="B7" s="25"/>
      <c r="C7" s="25"/>
    </row>
    <row r="9" spans="1:18" ht="12.95" customHeight="1" x14ac:dyDescent="0.2">
      <c r="A9" s="26" t="s">
        <v>1</v>
      </c>
      <c r="B9" s="6"/>
      <c r="C9" s="6"/>
      <c r="D9" s="3"/>
      <c r="F9" s="26" t="s">
        <v>1</v>
      </c>
      <c r="G9" s="6"/>
      <c r="H9" s="6"/>
      <c r="I9" s="3"/>
      <c r="K9" s="26" t="s">
        <v>3</v>
      </c>
      <c r="L9" s="26"/>
      <c r="M9" s="6"/>
      <c r="N9" s="6"/>
      <c r="O9" s="3"/>
      <c r="P9" s="6"/>
      <c r="Q9" s="6"/>
      <c r="R9" s="3"/>
    </row>
    <row r="10" spans="1:18" ht="28.35" customHeight="1" x14ac:dyDescent="0.2">
      <c r="A10" s="27"/>
      <c r="B10" s="8" t="s">
        <v>38</v>
      </c>
      <c r="C10" s="4" t="s">
        <v>2</v>
      </c>
      <c r="D10" s="4" t="s">
        <v>0</v>
      </c>
      <c r="F10" s="27"/>
      <c r="G10" s="8" t="s">
        <v>38</v>
      </c>
      <c r="H10" s="4" t="s">
        <v>2</v>
      </c>
      <c r="I10" s="4" t="s">
        <v>0</v>
      </c>
      <c r="K10" s="27"/>
      <c r="L10" s="27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43586</v>
      </c>
      <c r="B11" s="12">
        <v>79532</v>
      </c>
      <c r="C11" s="12">
        <v>2271</v>
      </c>
      <c r="D11" s="12">
        <v>81803</v>
      </c>
      <c r="F11" s="5">
        <v>44317</v>
      </c>
      <c r="G11" s="12">
        <v>55098</v>
      </c>
      <c r="H11" s="12">
        <v>692</v>
      </c>
      <c r="I11" s="12">
        <v>55790</v>
      </c>
      <c r="K11" s="5">
        <v>43589</v>
      </c>
      <c r="L11" s="5">
        <v>44317</v>
      </c>
      <c r="M11" s="22">
        <v>-21280</v>
      </c>
      <c r="N11" s="22">
        <v>-313</v>
      </c>
      <c r="O11" s="22">
        <v>-21593</v>
      </c>
      <c r="P11" s="23">
        <v>-0.27861426065097283</v>
      </c>
      <c r="Q11" s="23">
        <v>-0.3114427860696517</v>
      </c>
      <c r="R11" s="13">
        <v>-0.27904061615600328</v>
      </c>
    </row>
    <row r="12" spans="1:18" x14ac:dyDescent="0.2">
      <c r="A12" s="5">
        <v>43587</v>
      </c>
      <c r="B12" s="12">
        <v>84789</v>
      </c>
      <c r="C12" s="12">
        <v>3675</v>
      </c>
      <c r="D12" s="12">
        <v>88464</v>
      </c>
      <c r="F12" s="5">
        <v>44318</v>
      </c>
      <c r="G12" s="12">
        <v>47193</v>
      </c>
      <c r="H12" s="12">
        <v>197</v>
      </c>
      <c r="I12" s="12">
        <v>47390</v>
      </c>
      <c r="K12" s="5">
        <v>43590</v>
      </c>
      <c r="L12" s="5">
        <v>44318</v>
      </c>
      <c r="M12" s="22">
        <v>-21603</v>
      </c>
      <c r="N12" s="22">
        <v>-283</v>
      </c>
      <c r="O12" s="22">
        <v>-21886</v>
      </c>
      <c r="P12" s="23">
        <v>-0.31401534972963541</v>
      </c>
      <c r="Q12" s="23">
        <v>-0.58958333333333335</v>
      </c>
      <c r="R12" s="13">
        <v>-0.31592470696922459</v>
      </c>
    </row>
    <row r="13" spans="1:18" x14ac:dyDescent="0.2">
      <c r="A13" s="5">
        <v>43588</v>
      </c>
      <c r="B13" s="12">
        <v>91164</v>
      </c>
      <c r="C13" s="12">
        <v>3554</v>
      </c>
      <c r="D13" s="12">
        <v>94718</v>
      </c>
      <c r="F13" s="5">
        <v>44319</v>
      </c>
      <c r="G13" s="12">
        <v>67092</v>
      </c>
      <c r="H13" s="12">
        <v>3118</v>
      </c>
      <c r="I13" s="12">
        <v>70210</v>
      </c>
      <c r="K13" s="5">
        <v>43591</v>
      </c>
      <c r="L13" s="5">
        <v>44319</v>
      </c>
      <c r="M13" s="22">
        <v>-14225</v>
      </c>
      <c r="N13" s="22">
        <v>-561</v>
      </c>
      <c r="O13" s="22">
        <v>-14786</v>
      </c>
      <c r="P13" s="23">
        <v>-0.1749326709052228</v>
      </c>
      <c r="Q13" s="23">
        <v>-0.15248708888284856</v>
      </c>
      <c r="R13" s="13">
        <v>-0.17396112758247451</v>
      </c>
    </row>
    <row r="14" spans="1:18" x14ac:dyDescent="0.2">
      <c r="A14" s="5">
        <v>43589</v>
      </c>
      <c r="B14" s="12">
        <v>76378</v>
      </c>
      <c r="C14" s="12">
        <v>1005</v>
      </c>
      <c r="D14" s="12">
        <v>77383</v>
      </c>
      <c r="F14" s="5">
        <v>44320</v>
      </c>
      <c r="G14" s="12">
        <v>66480</v>
      </c>
      <c r="H14" s="12">
        <v>3310</v>
      </c>
      <c r="I14" s="12">
        <v>69790</v>
      </c>
      <c r="K14" s="5">
        <v>43592</v>
      </c>
      <c r="L14" s="5">
        <v>44320</v>
      </c>
      <c r="M14" s="22">
        <v>-16513</v>
      </c>
      <c r="N14" s="22">
        <v>-468</v>
      </c>
      <c r="O14" s="22">
        <v>-16981</v>
      </c>
      <c r="P14" s="23">
        <v>-0.1989685877122167</v>
      </c>
      <c r="Q14" s="23">
        <v>-0.12387506617257804</v>
      </c>
      <c r="R14" s="13">
        <v>-0.19569902386742111</v>
      </c>
    </row>
    <row r="15" spans="1:18" x14ac:dyDescent="0.2">
      <c r="A15" s="5">
        <v>43590</v>
      </c>
      <c r="B15" s="12">
        <v>68796</v>
      </c>
      <c r="C15" s="12">
        <v>480</v>
      </c>
      <c r="D15" s="12">
        <v>69276</v>
      </c>
      <c r="F15" s="5">
        <v>44321</v>
      </c>
      <c r="G15" s="12">
        <v>67687</v>
      </c>
      <c r="H15" s="12">
        <v>3321</v>
      </c>
      <c r="I15" s="12">
        <v>71008</v>
      </c>
      <c r="K15" s="5">
        <v>43593</v>
      </c>
      <c r="L15" s="5">
        <v>44321</v>
      </c>
      <c r="M15" s="22">
        <v>-14008</v>
      </c>
      <c r="N15" s="22">
        <v>-106</v>
      </c>
      <c r="O15" s="22">
        <v>-14114</v>
      </c>
      <c r="P15" s="23">
        <v>-0.17146704204663687</v>
      </c>
      <c r="Q15" s="23">
        <v>-3.0930843303180633E-2</v>
      </c>
      <c r="R15" s="13">
        <v>-0.16580907403491463</v>
      </c>
    </row>
    <row r="16" spans="1:18" x14ac:dyDescent="0.2">
      <c r="A16" s="5">
        <v>43591</v>
      </c>
      <c r="B16" s="12">
        <v>81317</v>
      </c>
      <c r="C16" s="12">
        <v>3679</v>
      </c>
      <c r="D16" s="12">
        <v>84996</v>
      </c>
      <c r="F16" s="5">
        <v>44322</v>
      </c>
      <c r="G16" s="12">
        <v>68702</v>
      </c>
      <c r="H16" s="12">
        <v>3470</v>
      </c>
      <c r="I16" s="12">
        <v>72172</v>
      </c>
      <c r="K16" s="5">
        <v>43594</v>
      </c>
      <c r="L16" s="5">
        <v>44322</v>
      </c>
      <c r="M16" s="22">
        <v>-15483</v>
      </c>
      <c r="N16" s="22">
        <v>-229</v>
      </c>
      <c r="O16" s="22">
        <v>-15712</v>
      </c>
      <c r="P16" s="23">
        <v>-0.18391637465106614</v>
      </c>
      <c r="Q16" s="23">
        <v>-6.1908623952419584E-2</v>
      </c>
      <c r="R16" s="13">
        <v>-0.17878112056802153</v>
      </c>
    </row>
    <row r="17" spans="1:18" x14ac:dyDescent="0.2">
      <c r="A17" s="5">
        <v>43592</v>
      </c>
      <c r="B17" s="12">
        <v>82993</v>
      </c>
      <c r="C17" s="12">
        <v>3778</v>
      </c>
      <c r="D17" s="12">
        <v>86771</v>
      </c>
      <c r="F17" s="5">
        <v>44323</v>
      </c>
      <c r="G17" s="12">
        <v>74472</v>
      </c>
      <c r="H17" s="12">
        <v>3089</v>
      </c>
      <c r="I17" s="12">
        <v>77561</v>
      </c>
      <c r="K17" s="5">
        <v>43595</v>
      </c>
      <c r="L17" s="5">
        <v>44323</v>
      </c>
      <c r="M17" s="22">
        <v>-16737</v>
      </c>
      <c r="N17" s="22">
        <v>-404</v>
      </c>
      <c r="O17" s="22">
        <v>-17141</v>
      </c>
      <c r="P17" s="23">
        <v>-0.18350162812880311</v>
      </c>
      <c r="Q17" s="23">
        <v>-0.1156598912109934</v>
      </c>
      <c r="R17" s="13">
        <v>-0.1809993453147769</v>
      </c>
    </row>
    <row r="18" spans="1:18" x14ac:dyDescent="0.2">
      <c r="A18" s="5">
        <v>43593</v>
      </c>
      <c r="B18" s="12">
        <v>81695</v>
      </c>
      <c r="C18" s="12">
        <v>3427</v>
      </c>
      <c r="D18" s="12">
        <v>85122</v>
      </c>
      <c r="F18" s="5">
        <v>44324</v>
      </c>
      <c r="G18" s="12">
        <v>67466</v>
      </c>
      <c r="H18" s="12">
        <v>746</v>
      </c>
      <c r="I18" s="12">
        <v>68212</v>
      </c>
      <c r="K18" s="5">
        <v>43596</v>
      </c>
      <c r="L18" s="5">
        <v>44324</v>
      </c>
      <c r="M18" s="22">
        <v>-6337</v>
      </c>
      <c r="N18" s="22">
        <v>-201</v>
      </c>
      <c r="O18" s="22">
        <v>-6538</v>
      </c>
      <c r="P18" s="23">
        <v>-8.5863718277034762E-2</v>
      </c>
      <c r="Q18" s="23">
        <v>-0.21224920802534319</v>
      </c>
      <c r="R18" s="13">
        <v>-8.7464882943143807E-2</v>
      </c>
    </row>
    <row r="19" spans="1:18" x14ac:dyDescent="0.2">
      <c r="A19" s="5">
        <v>43594</v>
      </c>
      <c r="B19" s="12">
        <v>84185</v>
      </c>
      <c r="C19" s="12">
        <v>3699</v>
      </c>
      <c r="D19" s="12">
        <v>87884</v>
      </c>
      <c r="F19" s="5">
        <v>44325</v>
      </c>
      <c r="G19" s="12">
        <v>62776</v>
      </c>
      <c r="H19" s="12">
        <v>242</v>
      </c>
      <c r="I19" s="12">
        <v>63018</v>
      </c>
      <c r="K19" s="5">
        <v>43597</v>
      </c>
      <c r="L19" s="5">
        <v>44325</v>
      </c>
      <c r="M19" s="22">
        <v>-7769</v>
      </c>
      <c r="N19" s="22">
        <v>-177</v>
      </c>
      <c r="O19" s="22">
        <v>-7946</v>
      </c>
      <c r="P19" s="23">
        <v>-0.11012828690906518</v>
      </c>
      <c r="Q19" s="23">
        <v>-0.42243436754176611</v>
      </c>
      <c r="R19" s="13">
        <v>-0.11197226762865675</v>
      </c>
    </row>
    <row r="20" spans="1:18" x14ac:dyDescent="0.2">
      <c r="A20" s="5">
        <v>43595</v>
      </c>
      <c r="B20" s="12">
        <v>91209</v>
      </c>
      <c r="C20" s="12">
        <v>3493</v>
      </c>
      <c r="D20" s="12">
        <v>94702</v>
      </c>
      <c r="F20" s="5">
        <v>44326</v>
      </c>
      <c r="G20" s="12">
        <v>63555</v>
      </c>
      <c r="H20" s="12">
        <v>3080</v>
      </c>
      <c r="I20" s="12">
        <v>66635</v>
      </c>
      <c r="K20" s="5">
        <v>43598</v>
      </c>
      <c r="L20" s="5">
        <v>44326</v>
      </c>
      <c r="M20" s="12">
        <v>-17547</v>
      </c>
      <c r="N20" s="12">
        <v>-387</v>
      </c>
      <c r="O20" s="12">
        <v>-17934</v>
      </c>
      <c r="P20" s="9">
        <v>-0.21635717984759928</v>
      </c>
      <c r="Q20" s="9">
        <v>-0.11162388231900777</v>
      </c>
      <c r="R20" s="13">
        <v>-0.2120635220943845</v>
      </c>
    </row>
    <row r="21" spans="1:18" x14ac:dyDescent="0.2">
      <c r="A21" s="5">
        <v>43596</v>
      </c>
      <c r="B21" s="12">
        <v>73803</v>
      </c>
      <c r="C21" s="12">
        <v>947</v>
      </c>
      <c r="D21" s="12">
        <v>74750</v>
      </c>
      <c r="F21" s="5">
        <v>44327</v>
      </c>
      <c r="G21" s="12">
        <v>66730</v>
      </c>
      <c r="H21" s="12">
        <v>3620</v>
      </c>
      <c r="I21" s="12">
        <v>70350</v>
      </c>
      <c r="K21" s="5">
        <v>43599</v>
      </c>
      <c r="L21" s="5">
        <v>44327</v>
      </c>
      <c r="M21" s="12">
        <v>-16372</v>
      </c>
      <c r="N21" s="12">
        <v>5</v>
      </c>
      <c r="O21" s="12">
        <v>-16367</v>
      </c>
      <c r="P21" s="9">
        <v>-0.19701090226468676</v>
      </c>
      <c r="Q21" s="9">
        <v>1.3831258644536604E-3</v>
      </c>
      <c r="R21" s="13">
        <v>-0.18874038539156102</v>
      </c>
    </row>
    <row r="22" spans="1:18" x14ac:dyDescent="0.2">
      <c r="A22" s="5">
        <v>43597</v>
      </c>
      <c r="B22" s="12">
        <v>70545</v>
      </c>
      <c r="C22" s="12">
        <v>419</v>
      </c>
      <c r="D22" s="12">
        <v>70964</v>
      </c>
      <c r="F22" s="5">
        <v>44328</v>
      </c>
      <c r="G22" s="12">
        <v>72408</v>
      </c>
      <c r="H22" s="12">
        <v>3302</v>
      </c>
      <c r="I22" s="12">
        <v>75710</v>
      </c>
      <c r="K22" s="5">
        <v>43600</v>
      </c>
      <c r="L22" s="5">
        <v>44328</v>
      </c>
      <c r="M22" s="12">
        <v>-10890</v>
      </c>
      <c r="N22" s="12">
        <v>-273</v>
      </c>
      <c r="O22" s="12">
        <v>-11163</v>
      </c>
      <c r="P22" s="9">
        <v>-0.130735431823093</v>
      </c>
      <c r="Q22" s="9">
        <v>-7.6363636363636411E-2</v>
      </c>
      <c r="R22" s="13">
        <v>-0.12849792225432533</v>
      </c>
    </row>
    <row r="23" spans="1:18" x14ac:dyDescent="0.2">
      <c r="A23" s="5">
        <v>43598</v>
      </c>
      <c r="B23" s="12">
        <v>81102</v>
      </c>
      <c r="C23" s="12">
        <v>3467</v>
      </c>
      <c r="D23" s="12">
        <v>84569</v>
      </c>
      <c r="F23" s="5">
        <v>44329</v>
      </c>
      <c r="G23" s="12">
        <v>51510</v>
      </c>
      <c r="H23" s="12">
        <v>321</v>
      </c>
      <c r="I23" s="12">
        <v>51831</v>
      </c>
      <c r="K23" s="5">
        <v>43601</v>
      </c>
      <c r="L23" s="5">
        <v>44329</v>
      </c>
      <c r="M23" s="12">
        <v>-35159</v>
      </c>
      <c r="N23" s="12">
        <v>-3256</v>
      </c>
      <c r="O23" s="12">
        <v>-38415</v>
      </c>
      <c r="P23" s="9">
        <v>-0.40566984735026368</v>
      </c>
      <c r="Q23" s="9">
        <v>-0.91025999440872241</v>
      </c>
      <c r="R23" s="13">
        <v>-0.4256698357821953</v>
      </c>
    </row>
    <row r="24" spans="1:18" x14ac:dyDescent="0.2">
      <c r="A24" s="5">
        <v>43599</v>
      </c>
      <c r="B24" s="12">
        <v>83102</v>
      </c>
      <c r="C24" s="12">
        <v>3615</v>
      </c>
      <c r="D24" s="12">
        <v>86717</v>
      </c>
      <c r="F24" s="5">
        <v>44330</v>
      </c>
      <c r="G24" s="12">
        <v>60661</v>
      </c>
      <c r="H24" s="12">
        <v>2120</v>
      </c>
      <c r="I24" s="12">
        <v>62781</v>
      </c>
      <c r="K24" s="5">
        <v>43602</v>
      </c>
      <c r="L24" s="5">
        <v>44330</v>
      </c>
      <c r="M24" s="12">
        <v>-28854</v>
      </c>
      <c r="N24" s="12">
        <v>-1433</v>
      </c>
      <c r="O24" s="12">
        <v>-30287</v>
      </c>
      <c r="P24" s="9">
        <v>-0.32233703848517004</v>
      </c>
      <c r="Q24" s="9">
        <v>-0.40332113706726713</v>
      </c>
      <c r="R24" s="13">
        <v>-0.32542871878626378</v>
      </c>
    </row>
    <row r="25" spans="1:18" x14ac:dyDescent="0.2">
      <c r="A25" s="5">
        <v>43600</v>
      </c>
      <c r="B25" s="12">
        <v>83298</v>
      </c>
      <c r="C25" s="12">
        <v>3575</v>
      </c>
      <c r="D25" s="12">
        <v>86873</v>
      </c>
      <c r="F25" s="5">
        <v>44331</v>
      </c>
      <c r="G25" s="12">
        <v>54601</v>
      </c>
      <c r="H25" s="12">
        <v>697</v>
      </c>
      <c r="I25" s="12">
        <v>55298</v>
      </c>
      <c r="K25" s="5">
        <v>43603</v>
      </c>
      <c r="L25" s="5">
        <v>44331</v>
      </c>
      <c r="M25" s="12">
        <v>-19561</v>
      </c>
      <c r="N25" s="12">
        <v>-318</v>
      </c>
      <c r="O25" s="12">
        <v>-19879</v>
      </c>
      <c r="P25" s="9">
        <v>-0.2637604163857501</v>
      </c>
      <c r="Q25" s="9">
        <v>-0.31330049261083748</v>
      </c>
      <c r="R25" s="13">
        <v>-0.26442928023198586</v>
      </c>
    </row>
    <row r="26" spans="1:18" x14ac:dyDescent="0.2">
      <c r="A26" s="5">
        <v>43601</v>
      </c>
      <c r="B26" s="12">
        <v>86669</v>
      </c>
      <c r="C26" s="12">
        <v>3577</v>
      </c>
      <c r="D26" s="12">
        <v>90246</v>
      </c>
      <c r="F26" s="5">
        <v>44332</v>
      </c>
      <c r="G26" s="12">
        <v>55002</v>
      </c>
      <c r="H26" s="12">
        <v>285</v>
      </c>
      <c r="I26" s="12">
        <v>55287</v>
      </c>
      <c r="K26" s="5">
        <v>43604</v>
      </c>
      <c r="L26" s="5">
        <v>44332</v>
      </c>
      <c r="M26" s="12">
        <v>-12439</v>
      </c>
      <c r="N26" s="12">
        <v>-241</v>
      </c>
      <c r="O26" s="12">
        <v>-12680</v>
      </c>
      <c r="P26" s="9">
        <v>-0.18444269806200975</v>
      </c>
      <c r="Q26" s="9">
        <v>-0.45817490494296575</v>
      </c>
      <c r="R26" s="13">
        <v>-0.18656112525196056</v>
      </c>
    </row>
    <row r="27" spans="1:18" x14ac:dyDescent="0.2">
      <c r="A27" s="5">
        <v>43602</v>
      </c>
      <c r="B27" s="12">
        <v>89515</v>
      </c>
      <c r="C27" s="12">
        <v>3553</v>
      </c>
      <c r="D27" s="12">
        <v>93068</v>
      </c>
      <c r="F27" s="5">
        <v>44333</v>
      </c>
      <c r="G27" s="12">
        <v>65916</v>
      </c>
      <c r="H27" s="12">
        <v>3247</v>
      </c>
      <c r="I27" s="12">
        <v>69163</v>
      </c>
      <c r="K27" s="5">
        <v>43605</v>
      </c>
      <c r="L27" s="5">
        <v>44333</v>
      </c>
      <c r="M27" s="12">
        <v>-14852</v>
      </c>
      <c r="N27" s="12">
        <v>-157</v>
      </c>
      <c r="O27" s="12">
        <v>-15009</v>
      </c>
      <c r="P27" s="9">
        <v>-0.18388470681458002</v>
      </c>
      <c r="Q27" s="9">
        <v>-4.6122209165687433E-2</v>
      </c>
      <c r="R27" s="13">
        <v>-0.17831345340493276</v>
      </c>
    </row>
    <row r="28" spans="1:18" x14ac:dyDescent="0.2">
      <c r="A28" s="5">
        <v>43603</v>
      </c>
      <c r="B28" s="12">
        <v>74162</v>
      </c>
      <c r="C28" s="12">
        <v>1015</v>
      </c>
      <c r="D28" s="12">
        <v>75177</v>
      </c>
      <c r="F28" s="5">
        <v>44334</v>
      </c>
      <c r="G28" s="12">
        <v>64237</v>
      </c>
      <c r="H28" s="12">
        <v>3267</v>
      </c>
      <c r="I28" s="12">
        <v>67504</v>
      </c>
      <c r="K28" s="5">
        <v>43606</v>
      </c>
      <c r="L28" s="5">
        <v>44334</v>
      </c>
      <c r="M28" s="12">
        <v>-18122</v>
      </c>
      <c r="N28" s="12">
        <v>-379</v>
      </c>
      <c r="O28" s="12">
        <v>-18501</v>
      </c>
      <c r="P28" s="9">
        <v>-0.22003666873080052</v>
      </c>
      <c r="Q28" s="9">
        <v>-0.10394953373560067</v>
      </c>
      <c r="R28" s="13">
        <v>-0.21511540026742626</v>
      </c>
    </row>
    <row r="29" spans="1:18" x14ac:dyDescent="0.2">
      <c r="A29" s="5">
        <v>43604</v>
      </c>
      <c r="B29" s="12">
        <v>67441</v>
      </c>
      <c r="C29" s="12">
        <v>526</v>
      </c>
      <c r="D29" s="12">
        <v>67967</v>
      </c>
      <c r="F29" s="5">
        <v>44335</v>
      </c>
      <c r="G29" s="12">
        <v>65758</v>
      </c>
      <c r="H29" s="12">
        <v>2915</v>
      </c>
      <c r="I29" s="12">
        <v>68673</v>
      </c>
      <c r="K29" s="5">
        <v>43607</v>
      </c>
      <c r="L29" s="5">
        <v>44335</v>
      </c>
      <c r="M29" s="12">
        <v>-18632</v>
      </c>
      <c r="N29" s="12">
        <v>-660</v>
      </c>
      <c r="O29" s="12">
        <v>-19292</v>
      </c>
      <c r="P29" s="9">
        <v>-0.22078445313425765</v>
      </c>
      <c r="Q29" s="9">
        <v>-0.18461538461538463</v>
      </c>
      <c r="R29" s="13">
        <v>-0.21931450008526121</v>
      </c>
    </row>
    <row r="30" spans="1:18" x14ac:dyDescent="0.2">
      <c r="A30" s="5">
        <v>43605</v>
      </c>
      <c r="B30" s="12">
        <v>80768</v>
      </c>
      <c r="C30" s="12">
        <v>3404</v>
      </c>
      <c r="D30" s="12">
        <v>84172</v>
      </c>
      <c r="F30" s="5">
        <v>44336</v>
      </c>
      <c r="G30" s="12">
        <v>73053</v>
      </c>
      <c r="H30" s="12">
        <v>3516</v>
      </c>
      <c r="I30" s="12">
        <v>76569</v>
      </c>
      <c r="K30" s="5">
        <v>43608</v>
      </c>
      <c r="L30" s="5">
        <v>44336</v>
      </c>
      <c r="M30" s="12">
        <v>-13282</v>
      </c>
      <c r="N30" s="12">
        <v>-146</v>
      </c>
      <c r="O30" s="12">
        <v>-13428</v>
      </c>
      <c r="P30" s="9">
        <v>-0.15384258991139166</v>
      </c>
      <c r="Q30" s="9">
        <v>-3.9868924085199375E-2</v>
      </c>
      <c r="R30" s="13">
        <v>-0.14920497349911666</v>
      </c>
    </row>
    <row r="31" spans="1:18" x14ac:dyDescent="0.2">
      <c r="A31" s="5">
        <v>43606</v>
      </c>
      <c r="B31" s="12">
        <v>82359</v>
      </c>
      <c r="C31" s="12">
        <v>3646</v>
      </c>
      <c r="D31" s="12">
        <v>86005</v>
      </c>
      <c r="F31" s="5">
        <v>44337</v>
      </c>
      <c r="G31" s="12">
        <v>76990</v>
      </c>
      <c r="H31" s="12">
        <v>3192</v>
      </c>
      <c r="I31" s="12">
        <v>80182</v>
      </c>
      <c r="K31" s="5">
        <v>43609</v>
      </c>
      <c r="L31" s="5">
        <v>44337</v>
      </c>
      <c r="M31" s="12">
        <v>-15863</v>
      </c>
      <c r="N31" s="12">
        <v>-382</v>
      </c>
      <c r="O31" s="12">
        <v>-16245</v>
      </c>
      <c r="P31" s="9">
        <v>-0.17083992978148255</v>
      </c>
      <c r="Q31" s="9">
        <v>-0.10688304420817007</v>
      </c>
      <c r="R31" s="13">
        <v>-0.16846941209412303</v>
      </c>
    </row>
    <row r="32" spans="1:18" x14ac:dyDescent="0.2">
      <c r="A32" s="5">
        <v>43607</v>
      </c>
      <c r="B32" s="12">
        <v>84390</v>
      </c>
      <c r="C32" s="12">
        <v>3575</v>
      </c>
      <c r="D32" s="12">
        <v>87965</v>
      </c>
      <c r="F32" s="5">
        <v>44338</v>
      </c>
      <c r="G32" s="12">
        <v>65002</v>
      </c>
      <c r="H32" s="12">
        <v>784</v>
      </c>
      <c r="I32" s="12">
        <v>65786</v>
      </c>
      <c r="K32" s="5">
        <v>43610</v>
      </c>
      <c r="L32" s="5">
        <v>44338</v>
      </c>
      <c r="M32" s="12">
        <v>-12247</v>
      </c>
      <c r="N32" s="12">
        <v>-340</v>
      </c>
      <c r="O32" s="12">
        <v>-12587</v>
      </c>
      <c r="P32" s="9">
        <v>-0.15853926911675231</v>
      </c>
      <c r="Q32" s="9">
        <v>-0.302491103202847</v>
      </c>
      <c r="R32" s="13">
        <v>-0.1606037793627908</v>
      </c>
    </row>
    <row r="33" spans="1:18" x14ac:dyDescent="0.2">
      <c r="A33" s="5">
        <v>43608</v>
      </c>
      <c r="B33" s="12">
        <v>86335</v>
      </c>
      <c r="C33" s="12">
        <v>3662</v>
      </c>
      <c r="D33" s="12">
        <v>89997</v>
      </c>
      <c r="F33" s="5">
        <v>44339</v>
      </c>
      <c r="G33" s="12">
        <v>57718</v>
      </c>
      <c r="H33" s="12">
        <v>217</v>
      </c>
      <c r="I33" s="12">
        <v>57935</v>
      </c>
      <c r="K33" s="5">
        <v>43611</v>
      </c>
      <c r="L33" s="5">
        <v>44339</v>
      </c>
      <c r="M33" s="12">
        <v>-16156</v>
      </c>
      <c r="N33" s="12">
        <v>-267</v>
      </c>
      <c r="O33" s="12">
        <v>-16423</v>
      </c>
      <c r="P33" s="9">
        <v>-0.21869669978612227</v>
      </c>
      <c r="Q33" s="9">
        <v>-0.55165289256198347</v>
      </c>
      <c r="R33" s="13">
        <v>-0.22086392856182258</v>
      </c>
    </row>
    <row r="34" spans="1:18" x14ac:dyDescent="0.2">
      <c r="A34" s="5">
        <v>43609</v>
      </c>
      <c r="B34" s="12">
        <v>92853</v>
      </c>
      <c r="C34" s="12">
        <v>3574</v>
      </c>
      <c r="D34" s="12">
        <v>96427</v>
      </c>
      <c r="F34" s="5">
        <v>44340</v>
      </c>
      <c r="G34" s="12">
        <v>54592</v>
      </c>
      <c r="H34" s="12">
        <v>389</v>
      </c>
      <c r="I34" s="12">
        <v>54981</v>
      </c>
      <c r="K34" s="5">
        <v>43612</v>
      </c>
      <c r="L34" s="5">
        <v>44340</v>
      </c>
      <c r="M34" s="12">
        <v>-28458</v>
      </c>
      <c r="N34" s="12">
        <v>-3106</v>
      </c>
      <c r="O34" s="12">
        <v>-31564</v>
      </c>
      <c r="P34" s="9">
        <v>-0.34266104756170979</v>
      </c>
      <c r="Q34" s="9">
        <v>-0.88869814020028615</v>
      </c>
      <c r="R34" s="13">
        <v>-0.36471199953781275</v>
      </c>
    </row>
    <row r="35" spans="1:18" x14ac:dyDescent="0.2">
      <c r="A35" s="5">
        <v>43610</v>
      </c>
      <c r="B35" s="12">
        <v>77249</v>
      </c>
      <c r="C35" s="12">
        <v>1124</v>
      </c>
      <c r="D35" s="12">
        <v>78373</v>
      </c>
      <c r="F35" s="5">
        <v>44341</v>
      </c>
      <c r="G35" s="12">
        <v>69897</v>
      </c>
      <c r="H35" s="12">
        <v>3437</v>
      </c>
      <c r="I35" s="12">
        <v>73334</v>
      </c>
      <c r="K35" s="5">
        <v>43613</v>
      </c>
      <c r="L35" s="5">
        <v>44341</v>
      </c>
      <c r="M35" s="12">
        <v>-13986</v>
      </c>
      <c r="N35" s="12">
        <v>-395</v>
      </c>
      <c r="O35" s="12">
        <v>-14381</v>
      </c>
      <c r="P35" s="9">
        <v>-0.16673223418332672</v>
      </c>
      <c r="Q35" s="9">
        <v>-0.10307933194154484</v>
      </c>
      <c r="R35" s="13">
        <v>-0.16395143362024744</v>
      </c>
    </row>
    <row r="36" spans="1:18" x14ac:dyDescent="0.2">
      <c r="A36" s="5">
        <v>43611</v>
      </c>
      <c r="B36" s="12">
        <v>73874</v>
      </c>
      <c r="C36" s="12">
        <v>484</v>
      </c>
      <c r="D36" s="12">
        <v>74358</v>
      </c>
      <c r="F36" s="5">
        <v>44342</v>
      </c>
      <c r="G36" s="12">
        <v>70309</v>
      </c>
      <c r="H36" s="12">
        <v>3636</v>
      </c>
      <c r="I36" s="12">
        <v>73945</v>
      </c>
      <c r="K36" s="5">
        <v>43614</v>
      </c>
      <c r="L36" s="5">
        <v>44342</v>
      </c>
      <c r="M36" s="12">
        <v>-25960</v>
      </c>
      <c r="N36" s="12">
        <v>-367</v>
      </c>
      <c r="O36" s="12">
        <v>-26327</v>
      </c>
      <c r="P36" s="9">
        <v>-0.26966105392182327</v>
      </c>
      <c r="Q36" s="9">
        <v>-9.1681239070697029E-2</v>
      </c>
      <c r="R36" s="13">
        <v>-0.26255584809318655</v>
      </c>
    </row>
    <row r="37" spans="1:18" x14ac:dyDescent="0.2">
      <c r="A37" s="5">
        <v>43612</v>
      </c>
      <c r="B37" s="12">
        <v>83050</v>
      </c>
      <c r="C37" s="12">
        <v>3495</v>
      </c>
      <c r="D37" s="12">
        <v>86545</v>
      </c>
      <c r="F37" s="5">
        <v>44343</v>
      </c>
      <c r="G37" s="12">
        <v>73196</v>
      </c>
      <c r="H37" s="12">
        <v>3585</v>
      </c>
      <c r="I37" s="12">
        <v>76781</v>
      </c>
      <c r="K37" s="5">
        <v>43615</v>
      </c>
      <c r="L37" s="5">
        <v>44343</v>
      </c>
      <c r="M37" s="12">
        <v>-1299</v>
      </c>
      <c r="N37" s="12">
        <v>3027</v>
      </c>
      <c r="O37" s="12">
        <v>1728</v>
      </c>
      <c r="P37" s="9">
        <v>-1.743741190683934E-2</v>
      </c>
      <c r="Q37" s="9">
        <v>5.424731182795699</v>
      </c>
      <c r="R37" s="13">
        <v>2.3023729897539091E-2</v>
      </c>
    </row>
    <row r="38" spans="1:18" x14ac:dyDescent="0.2">
      <c r="A38" s="5">
        <v>43613</v>
      </c>
      <c r="B38" s="12">
        <v>83883</v>
      </c>
      <c r="C38" s="12">
        <v>3832</v>
      </c>
      <c r="D38" s="12">
        <v>87715</v>
      </c>
      <c r="F38" s="5">
        <v>44344</v>
      </c>
      <c r="G38" s="12">
        <v>79332</v>
      </c>
      <c r="H38" s="12">
        <v>3246</v>
      </c>
      <c r="I38" s="12">
        <v>82578</v>
      </c>
      <c r="K38" s="5">
        <v>43616</v>
      </c>
      <c r="L38" s="5">
        <v>44344</v>
      </c>
      <c r="M38" s="12">
        <v>4168</v>
      </c>
      <c r="N38" s="12">
        <v>753</v>
      </c>
      <c r="O38" s="12">
        <v>4921</v>
      </c>
      <c r="P38" s="9">
        <v>5.545207812250541E-2</v>
      </c>
      <c r="Q38" s="9">
        <v>0.30204572803850782</v>
      </c>
      <c r="R38" s="13">
        <v>6.336840207579475E-2</v>
      </c>
    </row>
    <row r="39" spans="1:18" x14ac:dyDescent="0.2">
      <c r="A39" s="5">
        <v>43614</v>
      </c>
      <c r="B39" s="12">
        <v>96269</v>
      </c>
      <c r="C39" s="12">
        <v>4003</v>
      </c>
      <c r="D39" s="12">
        <v>100272</v>
      </c>
      <c r="F39" s="5">
        <v>44345</v>
      </c>
      <c r="G39" s="12">
        <v>66903</v>
      </c>
      <c r="H39" s="12">
        <v>863</v>
      </c>
      <c r="I39" s="12">
        <v>67766</v>
      </c>
      <c r="K39" s="5">
        <v>43617</v>
      </c>
      <c r="L39" s="5">
        <v>44345</v>
      </c>
      <c r="M39" s="28" t="s">
        <v>59</v>
      </c>
      <c r="N39" s="28"/>
      <c r="O39" s="28"/>
      <c r="P39" s="28"/>
      <c r="Q39" s="28"/>
      <c r="R39" s="28"/>
    </row>
    <row r="40" spans="1:18" ht="12.6" customHeight="1" x14ac:dyDescent="0.2">
      <c r="A40" s="5">
        <v>43615</v>
      </c>
      <c r="B40" s="12">
        <v>74495</v>
      </c>
      <c r="C40" s="12">
        <v>558</v>
      </c>
      <c r="D40" s="12">
        <v>75053</v>
      </c>
      <c r="F40" s="5">
        <v>44346</v>
      </c>
      <c r="G40" s="12">
        <v>64163</v>
      </c>
      <c r="H40" s="12">
        <v>311</v>
      </c>
      <c r="I40" s="12">
        <v>64474</v>
      </c>
      <c r="K40" s="5">
        <v>43618</v>
      </c>
      <c r="L40" s="5">
        <v>44346</v>
      </c>
      <c r="M40" s="28"/>
      <c r="N40" s="28"/>
      <c r="O40" s="28"/>
      <c r="P40" s="28"/>
      <c r="Q40" s="28"/>
      <c r="R40" s="28"/>
    </row>
    <row r="41" spans="1:18" ht="12.6" customHeight="1" x14ac:dyDescent="0.2">
      <c r="A41" s="5">
        <v>43616</v>
      </c>
      <c r="B41" s="12">
        <v>75164</v>
      </c>
      <c r="C41" s="12">
        <v>2493</v>
      </c>
      <c r="D41" s="12">
        <v>77657</v>
      </c>
      <c r="F41" s="5">
        <v>44347</v>
      </c>
      <c r="G41" s="12">
        <v>68981</v>
      </c>
      <c r="H41" s="12">
        <v>3303</v>
      </c>
      <c r="I41" s="12">
        <v>72284</v>
      </c>
      <c r="K41" s="5">
        <v>43619</v>
      </c>
      <c r="L41" s="5">
        <v>44347</v>
      </c>
      <c r="M41" s="28"/>
      <c r="N41" s="28"/>
      <c r="O41" s="28"/>
      <c r="P41" s="28"/>
      <c r="Q41" s="28"/>
      <c r="R41" s="28"/>
    </row>
    <row r="42" spans="1:18" x14ac:dyDescent="0.2">
      <c r="A42" s="5">
        <v>43617</v>
      </c>
      <c r="B42" s="28" t="s">
        <v>58</v>
      </c>
      <c r="C42" s="28"/>
      <c r="D42" s="28"/>
      <c r="F42" s="5"/>
      <c r="G42" s="12"/>
      <c r="H42" s="12"/>
      <c r="I42" s="12"/>
      <c r="L42" s="5"/>
      <c r="M42" s="20"/>
      <c r="N42" s="20"/>
      <c r="O42" s="20"/>
      <c r="P42" s="20"/>
      <c r="Q42" s="20"/>
      <c r="R42" s="20"/>
    </row>
    <row r="43" spans="1:18" x14ac:dyDescent="0.2">
      <c r="A43" s="5">
        <v>43618</v>
      </c>
      <c r="B43" s="28"/>
      <c r="C43" s="28"/>
      <c r="D43" s="28"/>
      <c r="F43" s="5"/>
      <c r="G43" s="12"/>
      <c r="H43" s="12"/>
      <c r="I43" s="12"/>
      <c r="K43" s="5"/>
      <c r="L43" s="5"/>
      <c r="M43" s="20"/>
      <c r="N43" s="20"/>
      <c r="O43" s="20"/>
      <c r="P43" s="20"/>
      <c r="Q43" s="20"/>
      <c r="R43" s="20"/>
    </row>
    <row r="44" spans="1:18" x14ac:dyDescent="0.2">
      <c r="A44" s="5">
        <v>43619</v>
      </c>
      <c r="B44" s="28"/>
      <c r="C44" s="28"/>
      <c r="D44" s="28"/>
      <c r="F44" s="5"/>
      <c r="G44" s="12"/>
      <c r="H44" s="12"/>
      <c r="I44" s="12"/>
      <c r="K44" s="5"/>
      <c r="L44" s="5"/>
      <c r="M44" s="20"/>
      <c r="N44" s="20"/>
      <c r="O44" s="20"/>
      <c r="P44" s="20"/>
      <c r="Q44" s="20"/>
      <c r="R44" s="20"/>
    </row>
    <row r="45" spans="1:18" x14ac:dyDescent="0.2">
      <c r="A45" s="5"/>
      <c r="B45" s="12"/>
      <c r="C45" s="12"/>
      <c r="D45" s="12"/>
      <c r="F45" s="5"/>
      <c r="G45" s="12"/>
      <c r="H45" s="12"/>
      <c r="I45" s="12"/>
      <c r="K45" s="5"/>
      <c r="L45" s="5"/>
      <c r="M45" s="20"/>
      <c r="N45" s="20"/>
      <c r="O45" s="20"/>
      <c r="P45" s="13"/>
      <c r="Q45" s="13"/>
      <c r="R45" s="13"/>
    </row>
    <row r="46" spans="1:18" x14ac:dyDescent="0.2">
      <c r="A46" s="1"/>
      <c r="B46" s="2"/>
      <c r="C46" s="2"/>
      <c r="D46" s="2"/>
      <c r="F46" s="1"/>
      <c r="G46" s="2"/>
      <c r="H46" s="2"/>
      <c r="I46" s="2"/>
    </row>
    <row r="47" spans="1:18" x14ac:dyDescent="0.2">
      <c r="A47" s="26" t="s">
        <v>26</v>
      </c>
      <c r="B47" s="6"/>
      <c r="C47" s="6"/>
      <c r="D47" s="3"/>
      <c r="F47" s="26" t="s">
        <v>26</v>
      </c>
      <c r="G47" s="6"/>
      <c r="H47" s="6"/>
      <c r="I47" s="3"/>
      <c r="K47" s="26" t="s">
        <v>27</v>
      </c>
      <c r="L47" s="26"/>
      <c r="M47" s="19"/>
      <c r="N47" s="6"/>
      <c r="O47" s="3"/>
      <c r="P47" s="6"/>
      <c r="Q47" s="6"/>
      <c r="R47" s="3"/>
    </row>
    <row r="48" spans="1:18" ht="26.45" customHeight="1" x14ac:dyDescent="0.2">
      <c r="A48" s="27"/>
      <c r="B48" s="8" t="s">
        <v>38</v>
      </c>
      <c r="C48" s="4" t="s">
        <v>2</v>
      </c>
      <c r="D48" s="4" t="s">
        <v>0</v>
      </c>
      <c r="F48" s="27"/>
      <c r="G48" s="8" t="s">
        <v>38</v>
      </c>
      <c r="H48" s="4" t="s">
        <v>2</v>
      </c>
      <c r="I48" s="4" t="s">
        <v>0</v>
      </c>
      <c r="K48" s="27"/>
      <c r="L48" s="27"/>
      <c r="M48" s="8" t="s">
        <v>38</v>
      </c>
      <c r="N48" s="4" t="s">
        <v>2</v>
      </c>
      <c r="O48" s="4" t="s">
        <v>0</v>
      </c>
      <c r="P48" s="8" t="s">
        <v>38</v>
      </c>
      <c r="Q48" s="4" t="s">
        <v>2</v>
      </c>
      <c r="R48" s="4" t="s">
        <v>0</v>
      </c>
    </row>
    <row r="49" spans="1:18" x14ac:dyDescent="0.2">
      <c r="A49" s="5">
        <v>43586</v>
      </c>
      <c r="B49" s="12">
        <v>39064</v>
      </c>
      <c r="C49" s="12">
        <v>1041</v>
      </c>
      <c r="D49" s="12">
        <v>40105</v>
      </c>
      <c r="F49" s="5">
        <v>44317</v>
      </c>
      <c r="G49" s="12">
        <v>27651</v>
      </c>
      <c r="H49" s="12">
        <v>324</v>
      </c>
      <c r="I49" s="12">
        <v>27975</v>
      </c>
      <c r="K49" s="5">
        <v>43589</v>
      </c>
      <c r="L49" s="5">
        <v>44317</v>
      </c>
      <c r="M49" s="22">
        <v>-10476</v>
      </c>
      <c r="N49" s="22">
        <v>-140</v>
      </c>
      <c r="O49" s="22">
        <v>-10616</v>
      </c>
      <c r="P49" s="23">
        <v>-0.27476591391926986</v>
      </c>
      <c r="Q49" s="23">
        <v>-0.30172413793103448</v>
      </c>
      <c r="R49" s="13">
        <v>-0.27509004690212746</v>
      </c>
    </row>
    <row r="50" spans="1:18" x14ac:dyDescent="0.2">
      <c r="A50" s="5">
        <v>43587</v>
      </c>
      <c r="B50" s="12">
        <v>42083</v>
      </c>
      <c r="C50" s="12">
        <v>1702</v>
      </c>
      <c r="D50" s="12">
        <v>43785</v>
      </c>
      <c r="F50" s="5">
        <v>44318</v>
      </c>
      <c r="G50" s="12">
        <v>22831</v>
      </c>
      <c r="H50" s="12">
        <v>80</v>
      </c>
      <c r="I50" s="12">
        <v>22911</v>
      </c>
      <c r="K50" s="5">
        <v>43590</v>
      </c>
      <c r="L50" s="5">
        <v>44318</v>
      </c>
      <c r="M50" s="22">
        <v>-12204</v>
      </c>
      <c r="N50" s="22">
        <v>-156</v>
      </c>
      <c r="O50" s="22">
        <v>-12360</v>
      </c>
      <c r="P50" s="23">
        <v>-0.34833737690880551</v>
      </c>
      <c r="Q50" s="23">
        <v>-0.66101694915254239</v>
      </c>
      <c r="R50" s="13">
        <v>-0.35042953134302968</v>
      </c>
    </row>
    <row r="51" spans="1:18" x14ac:dyDescent="0.2">
      <c r="A51" s="5">
        <v>43588</v>
      </c>
      <c r="B51" s="12">
        <v>44425</v>
      </c>
      <c r="C51" s="12">
        <v>1686</v>
      </c>
      <c r="D51" s="12">
        <v>46111</v>
      </c>
      <c r="F51" s="5">
        <v>44319</v>
      </c>
      <c r="G51" s="12">
        <v>33474</v>
      </c>
      <c r="H51" s="12">
        <v>1487</v>
      </c>
      <c r="I51" s="12">
        <v>34961</v>
      </c>
      <c r="K51" s="5">
        <v>43591</v>
      </c>
      <c r="L51" s="5">
        <v>44319</v>
      </c>
      <c r="M51" s="22">
        <v>-7199</v>
      </c>
      <c r="N51" s="22">
        <v>-230</v>
      </c>
      <c r="O51" s="22">
        <v>-7429</v>
      </c>
      <c r="P51" s="23">
        <v>-0.17699702505347525</v>
      </c>
      <c r="Q51" s="23">
        <v>-0.13395457192778104</v>
      </c>
      <c r="R51" s="13">
        <v>-0.1752535975465912</v>
      </c>
    </row>
    <row r="52" spans="1:18" x14ac:dyDescent="0.2">
      <c r="A52" s="5">
        <v>43589</v>
      </c>
      <c r="B52" s="12">
        <v>38127</v>
      </c>
      <c r="C52" s="12">
        <v>464</v>
      </c>
      <c r="D52" s="12">
        <v>38591</v>
      </c>
      <c r="F52" s="5">
        <v>44320</v>
      </c>
      <c r="G52" s="12">
        <v>33147</v>
      </c>
      <c r="H52" s="12">
        <v>1589</v>
      </c>
      <c r="I52" s="12">
        <v>34736</v>
      </c>
      <c r="K52" s="5">
        <v>43592</v>
      </c>
      <c r="L52" s="5">
        <v>44320</v>
      </c>
      <c r="M52" s="22">
        <v>-8086</v>
      </c>
      <c r="N52" s="22">
        <v>-232</v>
      </c>
      <c r="O52" s="22">
        <v>-8318</v>
      </c>
      <c r="P52" s="23">
        <v>-0.1961050614798826</v>
      </c>
      <c r="Q52" s="23">
        <v>-0.12740252608456892</v>
      </c>
      <c r="R52" s="13">
        <v>-0.19319923816602402</v>
      </c>
    </row>
    <row r="53" spans="1:18" x14ac:dyDescent="0.2">
      <c r="A53" s="5">
        <v>43590</v>
      </c>
      <c r="B53" s="12">
        <v>35035</v>
      </c>
      <c r="C53" s="12">
        <v>236</v>
      </c>
      <c r="D53" s="12">
        <v>35271</v>
      </c>
      <c r="F53" s="5">
        <v>44321</v>
      </c>
      <c r="G53" s="12">
        <v>33600</v>
      </c>
      <c r="H53" s="12">
        <v>1618</v>
      </c>
      <c r="I53" s="12">
        <v>35218</v>
      </c>
      <c r="K53" s="5">
        <v>43593</v>
      </c>
      <c r="L53" s="5">
        <v>44321</v>
      </c>
      <c r="M53" s="22">
        <v>-6714</v>
      </c>
      <c r="N53" s="22">
        <v>-4</v>
      </c>
      <c r="O53" s="22">
        <v>-6718</v>
      </c>
      <c r="P53" s="23">
        <v>-0.16654264027385024</v>
      </c>
      <c r="Q53" s="23">
        <v>-2.4660912453761119E-3</v>
      </c>
      <c r="R53" s="13">
        <v>-0.1601964898893552</v>
      </c>
    </row>
    <row r="54" spans="1:18" x14ac:dyDescent="0.2">
      <c r="A54" s="5">
        <v>43591</v>
      </c>
      <c r="B54" s="12">
        <v>40673</v>
      </c>
      <c r="C54" s="12">
        <v>1717</v>
      </c>
      <c r="D54" s="12">
        <v>42390</v>
      </c>
      <c r="F54" s="5">
        <v>44322</v>
      </c>
      <c r="G54" s="12">
        <v>34255</v>
      </c>
      <c r="H54" s="12">
        <v>1673</v>
      </c>
      <c r="I54" s="12">
        <v>35928</v>
      </c>
      <c r="K54" s="5">
        <v>43594</v>
      </c>
      <c r="L54" s="5">
        <v>44322</v>
      </c>
      <c r="M54" s="22">
        <v>-7446</v>
      </c>
      <c r="N54" s="22">
        <v>-52</v>
      </c>
      <c r="O54" s="22">
        <v>-7498</v>
      </c>
      <c r="P54" s="23">
        <v>-0.17855686913982882</v>
      </c>
      <c r="Q54" s="23">
        <v>-3.014492753623188E-2</v>
      </c>
      <c r="R54" s="13">
        <v>-0.17266153917008242</v>
      </c>
    </row>
    <row r="55" spans="1:18" x14ac:dyDescent="0.2">
      <c r="A55" s="5">
        <v>43592</v>
      </c>
      <c r="B55" s="12">
        <v>41233</v>
      </c>
      <c r="C55" s="12">
        <v>1821</v>
      </c>
      <c r="D55" s="12">
        <v>43054</v>
      </c>
      <c r="F55" s="5">
        <v>44323</v>
      </c>
      <c r="G55" s="12">
        <v>37499</v>
      </c>
      <c r="H55" s="12">
        <v>1461</v>
      </c>
      <c r="I55" s="12">
        <v>38960</v>
      </c>
      <c r="K55" s="5">
        <v>43595</v>
      </c>
      <c r="L55" s="5">
        <v>44323</v>
      </c>
      <c r="M55" s="22">
        <v>-6787</v>
      </c>
      <c r="N55" s="22">
        <v>-213</v>
      </c>
      <c r="O55" s="22">
        <v>-7000</v>
      </c>
      <c r="P55" s="23">
        <v>-0.15325384997516145</v>
      </c>
      <c r="Q55" s="23">
        <v>-0.12724014336917566</v>
      </c>
      <c r="R55" s="13">
        <v>-0.15230635335073972</v>
      </c>
    </row>
    <row r="56" spans="1:18" x14ac:dyDescent="0.2">
      <c r="A56" s="5">
        <v>43593</v>
      </c>
      <c r="B56" s="12">
        <v>40314</v>
      </c>
      <c r="C56" s="12">
        <v>1622</v>
      </c>
      <c r="D56" s="12">
        <v>41936</v>
      </c>
      <c r="F56" s="5">
        <v>44324</v>
      </c>
      <c r="G56" s="12">
        <v>34154</v>
      </c>
      <c r="H56" s="12">
        <v>344</v>
      </c>
      <c r="I56" s="12">
        <v>34498</v>
      </c>
      <c r="K56" s="5">
        <v>43596</v>
      </c>
      <c r="L56" s="5">
        <v>44324</v>
      </c>
      <c r="M56" s="22">
        <v>-1890</v>
      </c>
      <c r="N56" s="22">
        <v>-131</v>
      </c>
      <c r="O56" s="22">
        <v>-2021</v>
      </c>
      <c r="P56" s="23">
        <v>-5.243591166352235E-2</v>
      </c>
      <c r="Q56" s="23">
        <v>-0.27578947368421047</v>
      </c>
      <c r="R56" s="13">
        <v>-5.5341055341055378E-2</v>
      </c>
    </row>
    <row r="57" spans="1:18" x14ac:dyDescent="0.2">
      <c r="A57" s="5">
        <v>43594</v>
      </c>
      <c r="B57" s="12">
        <v>41701</v>
      </c>
      <c r="C57" s="12">
        <v>1725</v>
      </c>
      <c r="D57" s="12">
        <v>43426</v>
      </c>
      <c r="F57" s="5">
        <v>44325</v>
      </c>
      <c r="G57" s="12">
        <v>30551</v>
      </c>
      <c r="H57" s="12">
        <v>102</v>
      </c>
      <c r="I57" s="12">
        <v>30653</v>
      </c>
      <c r="K57" s="5">
        <v>43597</v>
      </c>
      <c r="L57" s="5">
        <v>44325</v>
      </c>
      <c r="M57" s="22">
        <v>-5240</v>
      </c>
      <c r="N57" s="22">
        <v>-86</v>
      </c>
      <c r="O57" s="22">
        <v>-5326</v>
      </c>
      <c r="P57" s="23">
        <v>-0.14640552094101866</v>
      </c>
      <c r="Q57" s="23">
        <v>-0.45744680851063835</v>
      </c>
      <c r="R57" s="13">
        <v>-0.14803079574196054</v>
      </c>
    </row>
    <row r="58" spans="1:18" x14ac:dyDescent="0.2">
      <c r="A58" s="5">
        <v>43595</v>
      </c>
      <c r="B58" s="12">
        <v>44286</v>
      </c>
      <c r="C58" s="12">
        <v>1674</v>
      </c>
      <c r="D58" s="12">
        <v>45960</v>
      </c>
      <c r="F58" s="5">
        <v>44326</v>
      </c>
      <c r="G58" s="12">
        <v>31627</v>
      </c>
      <c r="H58" s="12">
        <v>1492</v>
      </c>
      <c r="I58" s="12">
        <v>33119</v>
      </c>
      <c r="K58" s="5">
        <v>43598</v>
      </c>
      <c r="L58" s="5">
        <v>44326</v>
      </c>
      <c r="M58" s="12">
        <v>-8959</v>
      </c>
      <c r="N58" s="12">
        <v>-150</v>
      </c>
      <c r="O58" s="12">
        <v>-9109</v>
      </c>
      <c r="P58" s="9">
        <v>-0.22074114226580599</v>
      </c>
      <c r="Q58" s="9">
        <v>-9.1352009744214424E-2</v>
      </c>
      <c r="R58" s="13">
        <v>-0.21570995547977645</v>
      </c>
    </row>
    <row r="59" spans="1:18" x14ac:dyDescent="0.2">
      <c r="A59" s="5">
        <v>43596</v>
      </c>
      <c r="B59" s="12">
        <v>36044</v>
      </c>
      <c r="C59" s="12">
        <v>475</v>
      </c>
      <c r="D59" s="12">
        <v>36519</v>
      </c>
      <c r="F59" s="5">
        <v>44327</v>
      </c>
      <c r="G59" s="12">
        <v>33114</v>
      </c>
      <c r="H59" s="12">
        <v>1766</v>
      </c>
      <c r="I59" s="12">
        <v>34880</v>
      </c>
      <c r="K59" s="5">
        <v>43599</v>
      </c>
      <c r="L59" s="5">
        <v>44327</v>
      </c>
      <c r="M59" s="12">
        <v>-7989</v>
      </c>
      <c r="N59" s="12">
        <v>40</v>
      </c>
      <c r="O59" s="12">
        <v>-7949</v>
      </c>
      <c r="P59" s="9">
        <v>-0.19436537479016125</v>
      </c>
      <c r="Q59" s="9">
        <v>2.3174971031286296E-2</v>
      </c>
      <c r="R59" s="13">
        <v>-0.18559854304326506</v>
      </c>
    </row>
    <row r="60" spans="1:18" x14ac:dyDescent="0.2">
      <c r="A60" s="5">
        <v>43597</v>
      </c>
      <c r="B60" s="12">
        <v>35791</v>
      </c>
      <c r="C60" s="12">
        <v>188</v>
      </c>
      <c r="D60" s="12">
        <v>35979</v>
      </c>
      <c r="F60" s="5">
        <v>44328</v>
      </c>
      <c r="G60" s="12">
        <v>33262</v>
      </c>
      <c r="H60" s="12">
        <v>1572</v>
      </c>
      <c r="I60" s="12">
        <v>34834</v>
      </c>
      <c r="K60" s="5">
        <v>43600</v>
      </c>
      <c r="L60" s="5">
        <v>44328</v>
      </c>
      <c r="M60" s="12">
        <v>-8208</v>
      </c>
      <c r="N60" s="12">
        <v>-138</v>
      </c>
      <c r="O60" s="12">
        <v>-8346</v>
      </c>
      <c r="P60" s="9">
        <v>-0.19792621171931513</v>
      </c>
      <c r="Q60" s="9">
        <v>-8.0701754385964941E-2</v>
      </c>
      <c r="R60" s="13">
        <v>-0.19328392774432612</v>
      </c>
    </row>
    <row r="61" spans="1:18" x14ac:dyDescent="0.2">
      <c r="A61" s="5">
        <v>43598</v>
      </c>
      <c r="B61" s="12">
        <v>40586</v>
      </c>
      <c r="C61" s="12">
        <v>1642</v>
      </c>
      <c r="D61" s="12">
        <v>42228</v>
      </c>
      <c r="F61" s="5">
        <v>44329</v>
      </c>
      <c r="G61" s="12">
        <v>25420</v>
      </c>
      <c r="H61" s="12">
        <v>129</v>
      </c>
      <c r="I61" s="12">
        <v>25549</v>
      </c>
      <c r="K61" s="5">
        <v>43601</v>
      </c>
      <c r="L61" s="5">
        <v>44329</v>
      </c>
      <c r="M61" s="12">
        <v>-17191</v>
      </c>
      <c r="N61" s="12">
        <v>-1571</v>
      </c>
      <c r="O61" s="12">
        <v>-18762</v>
      </c>
      <c r="P61" s="9">
        <v>-0.40344042618103304</v>
      </c>
      <c r="Q61" s="9">
        <v>-0.92411764705882349</v>
      </c>
      <c r="R61" s="13">
        <v>-0.42341630746315817</v>
      </c>
    </row>
    <row r="62" spans="1:18" x14ac:dyDescent="0.2">
      <c r="A62" s="5">
        <v>43599</v>
      </c>
      <c r="B62" s="12">
        <v>41103</v>
      </c>
      <c r="C62" s="12">
        <v>1726</v>
      </c>
      <c r="D62" s="12">
        <v>42829</v>
      </c>
      <c r="F62" s="5">
        <v>44330</v>
      </c>
      <c r="G62" s="12">
        <v>30633</v>
      </c>
      <c r="H62" s="12">
        <v>1028</v>
      </c>
      <c r="I62" s="12">
        <v>31661</v>
      </c>
      <c r="K62" s="5">
        <v>43602</v>
      </c>
      <c r="L62" s="5">
        <v>44330</v>
      </c>
      <c r="M62" s="12">
        <v>-12916</v>
      </c>
      <c r="N62" s="12">
        <v>-654</v>
      </c>
      <c r="O62" s="12">
        <v>-13570</v>
      </c>
      <c r="P62" s="9">
        <v>-0.29658545546396009</v>
      </c>
      <c r="Q62" s="9">
        <v>-0.38882282996432815</v>
      </c>
      <c r="R62" s="13">
        <v>-0.30001547611151647</v>
      </c>
    </row>
    <row r="63" spans="1:18" x14ac:dyDescent="0.2">
      <c r="A63" s="5">
        <v>43600</v>
      </c>
      <c r="B63" s="12">
        <v>41470</v>
      </c>
      <c r="C63" s="12">
        <v>1710</v>
      </c>
      <c r="D63" s="12">
        <v>43180</v>
      </c>
      <c r="F63" s="5">
        <v>44331</v>
      </c>
      <c r="G63" s="12">
        <v>27660</v>
      </c>
      <c r="H63" s="12">
        <v>336</v>
      </c>
      <c r="I63" s="12">
        <v>27996</v>
      </c>
      <c r="K63" s="5">
        <v>43603</v>
      </c>
      <c r="L63" s="5">
        <v>44331</v>
      </c>
      <c r="M63" s="12">
        <v>-8630</v>
      </c>
      <c r="N63" s="12">
        <v>-123</v>
      </c>
      <c r="O63" s="12">
        <v>-8753</v>
      </c>
      <c r="P63" s="9">
        <v>-0.237806558280518</v>
      </c>
      <c r="Q63" s="9">
        <v>-0.26797385620915037</v>
      </c>
      <c r="R63" s="13">
        <v>-0.2381833519279436</v>
      </c>
    </row>
    <row r="64" spans="1:18" x14ac:dyDescent="0.2">
      <c r="A64" s="5">
        <v>43601</v>
      </c>
      <c r="B64" s="12">
        <v>42611</v>
      </c>
      <c r="C64" s="12">
        <v>1700</v>
      </c>
      <c r="D64" s="12">
        <v>44311</v>
      </c>
      <c r="F64" s="5">
        <v>44332</v>
      </c>
      <c r="G64" s="12">
        <v>27356</v>
      </c>
      <c r="H64" s="12">
        <v>153</v>
      </c>
      <c r="I64" s="12">
        <v>27509</v>
      </c>
      <c r="K64" s="5">
        <v>43604</v>
      </c>
      <c r="L64" s="5">
        <v>44332</v>
      </c>
      <c r="M64" s="12">
        <v>-6562</v>
      </c>
      <c r="N64" s="12">
        <v>-97</v>
      </c>
      <c r="O64" s="12">
        <v>-6659</v>
      </c>
      <c r="P64" s="9">
        <v>-0.19346659590777759</v>
      </c>
      <c r="Q64" s="9">
        <v>-0.38800000000000001</v>
      </c>
      <c r="R64" s="13">
        <v>-0.19488995551393118</v>
      </c>
    </row>
    <row r="65" spans="1:18" x14ac:dyDescent="0.2">
      <c r="A65" s="5">
        <v>43602</v>
      </c>
      <c r="B65" s="12">
        <v>43549</v>
      </c>
      <c r="C65" s="12">
        <v>1682</v>
      </c>
      <c r="D65" s="12">
        <v>45231</v>
      </c>
      <c r="F65" s="5">
        <v>44333</v>
      </c>
      <c r="G65" s="12">
        <v>33312</v>
      </c>
      <c r="H65" s="12">
        <v>1587</v>
      </c>
      <c r="I65" s="12">
        <v>34899</v>
      </c>
      <c r="K65" s="5">
        <v>43605</v>
      </c>
      <c r="L65" s="5">
        <v>44333</v>
      </c>
      <c r="M65" s="12">
        <v>-7146</v>
      </c>
      <c r="N65" s="12">
        <v>-31</v>
      </c>
      <c r="O65" s="12">
        <v>-7177</v>
      </c>
      <c r="P65" s="9">
        <v>-0.17662761382174108</v>
      </c>
      <c r="Q65" s="9">
        <v>-1.9159456118664986E-2</v>
      </c>
      <c r="R65" s="13">
        <v>-0.17057229774693417</v>
      </c>
    </row>
    <row r="66" spans="1:18" x14ac:dyDescent="0.2">
      <c r="A66" s="5">
        <v>43603</v>
      </c>
      <c r="B66" s="12">
        <v>36290</v>
      </c>
      <c r="C66" s="12">
        <v>459</v>
      </c>
      <c r="D66" s="12">
        <v>36749</v>
      </c>
      <c r="F66" s="5">
        <v>44334</v>
      </c>
      <c r="G66" s="12">
        <v>30825</v>
      </c>
      <c r="H66" s="12">
        <v>1522</v>
      </c>
      <c r="I66" s="12">
        <v>32347</v>
      </c>
      <c r="K66" s="5">
        <v>43606</v>
      </c>
      <c r="L66" s="5">
        <v>44334</v>
      </c>
      <c r="M66" s="12">
        <v>-10137</v>
      </c>
      <c r="N66" s="12">
        <v>-217</v>
      </c>
      <c r="O66" s="12">
        <v>-10354</v>
      </c>
      <c r="P66" s="9">
        <v>-0.24747326790684043</v>
      </c>
      <c r="Q66" s="9">
        <v>-0.12478435882691197</v>
      </c>
      <c r="R66" s="13">
        <v>-0.24247675698461391</v>
      </c>
    </row>
    <row r="67" spans="1:18" x14ac:dyDescent="0.2">
      <c r="A67" s="5">
        <v>43604</v>
      </c>
      <c r="B67" s="12">
        <v>33918</v>
      </c>
      <c r="C67" s="12">
        <v>250</v>
      </c>
      <c r="D67" s="12">
        <v>34168</v>
      </c>
      <c r="F67" s="5">
        <v>44335</v>
      </c>
      <c r="G67" s="12">
        <v>31876</v>
      </c>
      <c r="H67" s="12">
        <v>1439</v>
      </c>
      <c r="I67" s="12">
        <v>33315</v>
      </c>
      <c r="K67" s="5">
        <v>43607</v>
      </c>
      <c r="L67" s="5">
        <v>44335</v>
      </c>
      <c r="M67" s="12">
        <v>-9860</v>
      </c>
      <c r="N67" s="12">
        <v>-218</v>
      </c>
      <c r="O67" s="12">
        <v>-10078</v>
      </c>
      <c r="P67" s="9">
        <v>-0.23624688518305537</v>
      </c>
      <c r="Q67" s="9">
        <v>-0.13156306578153287</v>
      </c>
      <c r="R67" s="13">
        <v>-0.23224944115410318</v>
      </c>
    </row>
    <row r="68" spans="1:18" x14ac:dyDescent="0.2">
      <c r="A68" s="5">
        <v>43605</v>
      </c>
      <c r="B68" s="12">
        <v>40458</v>
      </c>
      <c r="C68" s="12">
        <v>1618</v>
      </c>
      <c r="D68" s="12">
        <v>42076</v>
      </c>
      <c r="F68" s="5">
        <v>44336</v>
      </c>
      <c r="G68" s="12">
        <v>36236</v>
      </c>
      <c r="H68" s="12">
        <v>1675</v>
      </c>
      <c r="I68" s="12">
        <v>37911</v>
      </c>
      <c r="K68" s="5">
        <v>43608</v>
      </c>
      <c r="L68" s="5">
        <v>44336</v>
      </c>
      <c r="M68" s="12">
        <v>-6791</v>
      </c>
      <c r="N68" s="12">
        <v>-47</v>
      </c>
      <c r="O68" s="12">
        <v>-6838</v>
      </c>
      <c r="P68" s="9">
        <v>-0.15783112929091037</v>
      </c>
      <c r="Q68" s="9">
        <v>-2.7293844367015097E-2</v>
      </c>
      <c r="R68" s="13">
        <v>-0.15280788397506084</v>
      </c>
    </row>
    <row r="69" spans="1:18" x14ac:dyDescent="0.2">
      <c r="A69" s="5">
        <v>43606</v>
      </c>
      <c r="B69" s="12">
        <v>40962</v>
      </c>
      <c r="C69" s="12">
        <v>1739</v>
      </c>
      <c r="D69" s="12">
        <v>42701</v>
      </c>
      <c r="F69" s="5">
        <v>44337</v>
      </c>
      <c r="G69" s="12">
        <v>38060</v>
      </c>
      <c r="H69" s="12">
        <v>1538</v>
      </c>
      <c r="I69" s="12">
        <v>39598</v>
      </c>
      <c r="K69" s="5">
        <v>43609</v>
      </c>
      <c r="L69" s="5">
        <v>44337</v>
      </c>
      <c r="M69" s="12">
        <v>-6766</v>
      </c>
      <c r="N69" s="12">
        <v>-162</v>
      </c>
      <c r="O69" s="12">
        <v>-6928</v>
      </c>
      <c r="P69" s="9">
        <v>-0.15093918707892739</v>
      </c>
      <c r="Q69" s="9">
        <v>-9.5294117647058862E-2</v>
      </c>
      <c r="R69" s="13">
        <v>-0.14890598804969268</v>
      </c>
    </row>
    <row r="70" spans="1:18" x14ac:dyDescent="0.2">
      <c r="A70" s="5">
        <v>43607</v>
      </c>
      <c r="B70" s="12">
        <v>41736</v>
      </c>
      <c r="C70" s="12">
        <v>1657</v>
      </c>
      <c r="D70" s="12">
        <v>43393</v>
      </c>
      <c r="F70" s="5">
        <v>44338</v>
      </c>
      <c r="G70" s="12">
        <v>33432</v>
      </c>
      <c r="H70" s="12">
        <v>380</v>
      </c>
      <c r="I70" s="12">
        <v>33812</v>
      </c>
      <c r="K70" s="5">
        <v>43610</v>
      </c>
      <c r="L70" s="5">
        <v>44338</v>
      </c>
      <c r="M70" s="12">
        <v>-3932</v>
      </c>
      <c r="N70" s="12">
        <v>-136</v>
      </c>
      <c r="O70" s="12">
        <v>-4068</v>
      </c>
      <c r="P70" s="9">
        <v>-0.10523498554758592</v>
      </c>
      <c r="Q70" s="9">
        <v>-0.26356589147286824</v>
      </c>
      <c r="R70" s="13">
        <v>-0.10739176346356916</v>
      </c>
    </row>
    <row r="71" spans="1:18" x14ac:dyDescent="0.2">
      <c r="A71" s="5">
        <v>43608</v>
      </c>
      <c r="B71" s="12">
        <v>43027</v>
      </c>
      <c r="C71" s="12">
        <v>1722</v>
      </c>
      <c r="D71" s="12">
        <v>44749</v>
      </c>
      <c r="F71" s="5">
        <v>44339</v>
      </c>
      <c r="G71" s="12">
        <v>29120</v>
      </c>
      <c r="H71" s="12">
        <v>108</v>
      </c>
      <c r="I71" s="12">
        <v>29228</v>
      </c>
      <c r="K71" s="5">
        <v>43611</v>
      </c>
      <c r="L71" s="5">
        <v>44339</v>
      </c>
      <c r="M71" s="12">
        <v>-8079</v>
      </c>
      <c r="N71" s="12">
        <v>-109</v>
      </c>
      <c r="O71" s="12">
        <v>-8188</v>
      </c>
      <c r="P71" s="9">
        <v>-0.21718325761445201</v>
      </c>
      <c r="Q71" s="9">
        <v>-0.50230414746543772</v>
      </c>
      <c r="R71" s="13">
        <v>-0.2188368612358349</v>
      </c>
    </row>
    <row r="72" spans="1:18" x14ac:dyDescent="0.2">
      <c r="A72" s="5">
        <v>43609</v>
      </c>
      <c r="B72" s="12">
        <v>44826</v>
      </c>
      <c r="C72" s="12">
        <v>1700</v>
      </c>
      <c r="D72" s="12">
        <v>46526</v>
      </c>
      <c r="F72" s="5">
        <v>44340</v>
      </c>
      <c r="G72" s="12">
        <v>26186</v>
      </c>
      <c r="H72" s="12">
        <v>181</v>
      </c>
      <c r="I72" s="12">
        <v>26367</v>
      </c>
      <c r="K72" s="5">
        <v>43612</v>
      </c>
      <c r="L72" s="5">
        <v>44340</v>
      </c>
      <c r="M72" s="12">
        <v>-15067</v>
      </c>
      <c r="N72" s="12">
        <v>-1448</v>
      </c>
      <c r="O72" s="12">
        <v>-16515</v>
      </c>
      <c r="P72" s="9">
        <v>-0.36523404358470901</v>
      </c>
      <c r="Q72" s="9">
        <v>-0.88888888888888884</v>
      </c>
      <c r="R72" s="13">
        <v>-0.38512662655659713</v>
      </c>
    </row>
    <row r="73" spans="1:18" x14ac:dyDescent="0.2">
      <c r="A73" s="5">
        <v>43610</v>
      </c>
      <c r="B73" s="12">
        <v>37364</v>
      </c>
      <c r="C73" s="12">
        <v>516</v>
      </c>
      <c r="D73" s="12">
        <v>37880</v>
      </c>
      <c r="F73" s="5">
        <v>44341</v>
      </c>
      <c r="G73" s="12">
        <v>35000</v>
      </c>
      <c r="H73" s="12">
        <v>1646</v>
      </c>
      <c r="I73" s="12">
        <v>36646</v>
      </c>
      <c r="K73" s="5">
        <v>43613</v>
      </c>
      <c r="L73" s="5">
        <v>44341</v>
      </c>
      <c r="M73" s="12">
        <v>-6035</v>
      </c>
      <c r="N73" s="12">
        <v>-165</v>
      </c>
      <c r="O73" s="12">
        <v>-6200</v>
      </c>
      <c r="P73" s="9">
        <v>-0.14706957475325944</v>
      </c>
      <c r="Q73" s="9">
        <v>-9.1109884041965739E-2</v>
      </c>
      <c r="R73" s="13">
        <v>-0.14470428978201</v>
      </c>
    </row>
    <row r="74" spans="1:18" x14ac:dyDescent="0.2">
      <c r="A74" s="5">
        <v>43611</v>
      </c>
      <c r="B74" s="12">
        <v>37199</v>
      </c>
      <c r="C74" s="12">
        <v>217</v>
      </c>
      <c r="D74" s="12">
        <v>37416</v>
      </c>
      <c r="F74" s="5">
        <v>44342</v>
      </c>
      <c r="G74" s="12">
        <v>35150</v>
      </c>
      <c r="H74" s="12">
        <v>1748</v>
      </c>
      <c r="I74" s="12">
        <v>36898</v>
      </c>
      <c r="K74" s="5">
        <v>43614</v>
      </c>
      <c r="L74" s="5">
        <v>44342</v>
      </c>
      <c r="M74" s="12">
        <v>-9321</v>
      </c>
      <c r="N74" s="12">
        <v>-92</v>
      </c>
      <c r="O74" s="12">
        <v>-9413</v>
      </c>
      <c r="P74" s="9">
        <v>-0.20959726563378378</v>
      </c>
      <c r="Q74" s="9">
        <v>-5.0000000000000044E-2</v>
      </c>
      <c r="R74" s="13">
        <v>-0.20325624581632873</v>
      </c>
    </row>
    <row r="75" spans="1:18" x14ac:dyDescent="0.2">
      <c r="A75" s="5">
        <v>43612</v>
      </c>
      <c r="B75" s="12">
        <v>41253</v>
      </c>
      <c r="C75" s="12">
        <v>1629</v>
      </c>
      <c r="D75" s="12">
        <v>42882</v>
      </c>
      <c r="F75" s="5">
        <v>44343</v>
      </c>
      <c r="G75" s="12">
        <v>36395</v>
      </c>
      <c r="H75" s="12">
        <v>1723</v>
      </c>
      <c r="I75" s="12">
        <v>38118</v>
      </c>
      <c r="K75" s="5">
        <v>43615</v>
      </c>
      <c r="L75" s="5">
        <v>44343</v>
      </c>
      <c r="M75" s="12">
        <v>2755</v>
      </c>
      <c r="N75" s="12">
        <v>1537</v>
      </c>
      <c r="O75" s="12">
        <v>4292</v>
      </c>
      <c r="P75" s="9">
        <v>8.18965517241379E-2</v>
      </c>
      <c r="Q75" s="9">
        <v>8.263440860215054</v>
      </c>
      <c r="R75" s="13">
        <v>0.12688464494767349</v>
      </c>
    </row>
    <row r="76" spans="1:18" x14ac:dyDescent="0.2">
      <c r="A76" s="5">
        <v>43613</v>
      </c>
      <c r="B76" s="12">
        <v>41035</v>
      </c>
      <c r="C76" s="12">
        <v>1811</v>
      </c>
      <c r="D76" s="12">
        <v>42846</v>
      </c>
      <c r="F76" s="5">
        <v>44344</v>
      </c>
      <c r="G76" s="12">
        <v>39766</v>
      </c>
      <c r="H76" s="12">
        <v>1578</v>
      </c>
      <c r="I76" s="12">
        <v>41344</v>
      </c>
      <c r="K76" s="5">
        <v>43616</v>
      </c>
      <c r="L76" s="5">
        <v>44344</v>
      </c>
      <c r="M76" s="12">
        <v>2747</v>
      </c>
      <c r="N76" s="12">
        <v>412</v>
      </c>
      <c r="O76" s="12">
        <v>3159</v>
      </c>
      <c r="P76" s="9">
        <v>7.4205137902158436E-2</v>
      </c>
      <c r="Q76" s="9">
        <v>0.353344768439108</v>
      </c>
      <c r="R76" s="13">
        <v>8.2728820217362831E-2</v>
      </c>
    </row>
    <row r="77" spans="1:18" x14ac:dyDescent="0.2">
      <c r="A77" s="5">
        <v>43614</v>
      </c>
      <c r="B77" s="12">
        <v>44471</v>
      </c>
      <c r="C77" s="12">
        <v>1840</v>
      </c>
      <c r="D77" s="12">
        <v>46311</v>
      </c>
      <c r="F77" s="5">
        <v>44345</v>
      </c>
      <c r="G77" s="12">
        <v>33819</v>
      </c>
      <c r="H77" s="12">
        <v>400</v>
      </c>
      <c r="I77" s="12">
        <v>34219</v>
      </c>
      <c r="K77" s="5">
        <v>43617</v>
      </c>
      <c r="L77" s="5">
        <v>44345</v>
      </c>
      <c r="M77" s="28" t="s">
        <v>59</v>
      </c>
      <c r="N77" s="28"/>
      <c r="O77" s="28"/>
      <c r="P77" s="28"/>
      <c r="Q77" s="28"/>
      <c r="R77" s="28"/>
    </row>
    <row r="78" spans="1:18" ht="12.6" customHeight="1" x14ac:dyDescent="0.2">
      <c r="A78" s="5">
        <v>43615</v>
      </c>
      <c r="B78" s="12">
        <v>33640</v>
      </c>
      <c r="C78" s="12">
        <v>186</v>
      </c>
      <c r="D78" s="12">
        <v>33826</v>
      </c>
      <c r="F78" s="5">
        <v>44346</v>
      </c>
      <c r="G78" s="12">
        <v>31763</v>
      </c>
      <c r="H78" s="12">
        <v>155</v>
      </c>
      <c r="I78" s="12">
        <v>31918</v>
      </c>
      <c r="K78" s="5">
        <v>43618</v>
      </c>
      <c r="L78" s="5">
        <v>44346</v>
      </c>
      <c r="M78" s="28"/>
      <c r="N78" s="28"/>
      <c r="O78" s="28"/>
      <c r="P78" s="28"/>
      <c r="Q78" s="28"/>
      <c r="R78" s="28"/>
    </row>
    <row r="79" spans="1:18" ht="12.6" customHeight="1" x14ac:dyDescent="0.2">
      <c r="A79" s="5">
        <v>43616</v>
      </c>
      <c r="B79" s="12">
        <v>37019</v>
      </c>
      <c r="C79" s="12">
        <v>1166</v>
      </c>
      <c r="D79" s="12">
        <v>38185</v>
      </c>
      <c r="F79" s="5">
        <v>44347</v>
      </c>
      <c r="G79" s="12">
        <v>34546</v>
      </c>
      <c r="H79" s="12">
        <v>1589</v>
      </c>
      <c r="I79" s="12">
        <v>36135</v>
      </c>
      <c r="K79" s="5">
        <v>43619</v>
      </c>
      <c r="L79" s="5">
        <v>44347</v>
      </c>
      <c r="M79" s="28"/>
      <c r="N79" s="28"/>
      <c r="O79" s="28"/>
      <c r="P79" s="28"/>
      <c r="Q79" s="28"/>
      <c r="R79" s="28"/>
    </row>
    <row r="80" spans="1:18" x14ac:dyDescent="0.2">
      <c r="A80" s="5">
        <v>43617</v>
      </c>
      <c r="B80" s="28" t="s">
        <v>58</v>
      </c>
      <c r="C80" s="28"/>
      <c r="D80" s="28"/>
      <c r="F80" s="5"/>
      <c r="G80" s="12"/>
      <c r="H80" s="12"/>
      <c r="I80" s="12"/>
      <c r="L80" s="5"/>
      <c r="M80" s="20"/>
      <c r="N80" s="20"/>
      <c r="O80" s="20"/>
      <c r="P80" s="20"/>
      <c r="Q80" s="20"/>
      <c r="R80" s="20"/>
    </row>
    <row r="81" spans="1:18" x14ac:dyDescent="0.2">
      <c r="A81" s="5">
        <v>43618</v>
      </c>
      <c r="B81" s="28"/>
      <c r="C81" s="28"/>
      <c r="D81" s="28"/>
      <c r="F81" s="5"/>
      <c r="G81" s="12"/>
      <c r="H81" s="12"/>
      <c r="I81" s="12"/>
      <c r="K81" s="5"/>
      <c r="L81" s="5"/>
      <c r="M81" s="20"/>
      <c r="N81" s="20"/>
      <c r="O81" s="20"/>
      <c r="P81" s="20"/>
      <c r="Q81" s="20"/>
      <c r="R81" s="20"/>
    </row>
    <row r="82" spans="1:18" x14ac:dyDescent="0.2">
      <c r="A82" s="5">
        <v>43619</v>
      </c>
      <c r="B82" s="28"/>
      <c r="C82" s="28"/>
      <c r="D82" s="28"/>
      <c r="F82" s="5"/>
      <c r="G82" s="12"/>
      <c r="H82" s="12"/>
      <c r="I82" s="12"/>
      <c r="K82" s="5"/>
      <c r="L82" s="5"/>
      <c r="M82" s="20"/>
      <c r="N82" s="20"/>
      <c r="O82" s="20"/>
      <c r="P82" s="20"/>
      <c r="Q82" s="20"/>
      <c r="R82" s="20"/>
    </row>
    <row r="83" spans="1:18" x14ac:dyDescent="0.2">
      <c r="A83" s="5"/>
      <c r="B83" s="2"/>
      <c r="C83" s="2"/>
      <c r="D83" s="2"/>
      <c r="F83" s="5"/>
      <c r="G83" s="2"/>
      <c r="H83" s="2"/>
      <c r="I83" s="2"/>
      <c r="L83" s="5"/>
      <c r="M83" s="14"/>
      <c r="N83" s="14"/>
      <c r="O83" s="14"/>
      <c r="P83" s="14"/>
      <c r="Q83" s="14"/>
      <c r="R83" s="14"/>
    </row>
    <row r="84" spans="1:18" x14ac:dyDescent="0.2">
      <c r="B84" s="2"/>
      <c r="C84" s="2"/>
      <c r="G84" s="2"/>
      <c r="H84" s="2"/>
    </row>
    <row r="85" spans="1:18" ht="12.95" customHeight="1" x14ac:dyDescent="0.2">
      <c r="A85" s="26" t="s">
        <v>28</v>
      </c>
      <c r="B85" s="6"/>
      <c r="C85" s="6"/>
      <c r="D85" s="3"/>
      <c r="F85" s="26" t="s">
        <v>28</v>
      </c>
      <c r="G85" s="6"/>
      <c r="H85" s="6"/>
      <c r="I85" s="3"/>
      <c r="K85" s="26" t="s">
        <v>29</v>
      </c>
      <c r="L85" s="26"/>
      <c r="M85" s="6"/>
      <c r="N85" s="6"/>
      <c r="O85" s="3"/>
      <c r="P85" s="6"/>
      <c r="Q85" s="6"/>
      <c r="R85" s="3"/>
    </row>
    <row r="86" spans="1:18" ht="26.45" customHeight="1" x14ac:dyDescent="0.2">
      <c r="A86" s="27"/>
      <c r="B86" s="8" t="s">
        <v>38</v>
      </c>
      <c r="C86" s="4" t="s">
        <v>2</v>
      </c>
      <c r="D86" s="4" t="s">
        <v>0</v>
      </c>
      <c r="F86" s="27"/>
      <c r="G86" s="8" t="s">
        <v>38</v>
      </c>
      <c r="H86" s="4" t="s">
        <v>2</v>
      </c>
      <c r="I86" s="4" t="s">
        <v>0</v>
      </c>
      <c r="K86" s="27"/>
      <c r="L86" s="27"/>
      <c r="M86" s="8" t="s">
        <v>38</v>
      </c>
      <c r="N86" s="4" t="s">
        <v>2</v>
      </c>
      <c r="O86" s="4" t="s">
        <v>0</v>
      </c>
      <c r="P86" s="8" t="s">
        <v>38</v>
      </c>
      <c r="Q86" s="4" t="s">
        <v>2</v>
      </c>
      <c r="R86" s="4" t="s">
        <v>0</v>
      </c>
    </row>
    <row r="87" spans="1:18" x14ac:dyDescent="0.2">
      <c r="A87" s="5">
        <v>43586</v>
      </c>
      <c r="B87" s="12">
        <v>40468</v>
      </c>
      <c r="C87" s="12">
        <v>1230</v>
      </c>
      <c r="D87" s="12">
        <v>41698</v>
      </c>
      <c r="F87" s="5">
        <v>44317</v>
      </c>
      <c r="G87" s="12">
        <v>27447</v>
      </c>
      <c r="H87" s="12">
        <v>368</v>
      </c>
      <c r="I87" s="12">
        <v>27815</v>
      </c>
      <c r="K87" s="5">
        <v>43589</v>
      </c>
      <c r="L87" s="5">
        <v>44317</v>
      </c>
      <c r="M87" s="22">
        <v>-10804</v>
      </c>
      <c r="N87" s="22">
        <v>-173</v>
      </c>
      <c r="O87" s="22">
        <v>-10977</v>
      </c>
      <c r="P87" s="23">
        <v>-0.2824501320226922</v>
      </c>
      <c r="Q87" s="23">
        <v>-0.31977818853974127</v>
      </c>
      <c r="R87" s="13">
        <v>-0.28297071561146625</v>
      </c>
    </row>
    <row r="88" spans="1:18" x14ac:dyDescent="0.2">
      <c r="A88" s="5">
        <v>43587</v>
      </c>
      <c r="B88" s="12">
        <v>42706</v>
      </c>
      <c r="C88" s="12">
        <v>1973</v>
      </c>
      <c r="D88" s="12">
        <v>44679</v>
      </c>
      <c r="F88" s="5">
        <v>44318</v>
      </c>
      <c r="G88" s="12">
        <v>24362</v>
      </c>
      <c r="H88" s="12">
        <v>117</v>
      </c>
      <c r="I88" s="12">
        <v>24479</v>
      </c>
      <c r="K88" s="5">
        <v>43590</v>
      </c>
      <c r="L88" s="5">
        <v>44318</v>
      </c>
      <c r="M88" s="22">
        <v>-9399</v>
      </c>
      <c r="N88" s="22">
        <v>-127</v>
      </c>
      <c r="O88" s="22">
        <v>-9526</v>
      </c>
      <c r="P88" s="23">
        <v>-0.27839815171351556</v>
      </c>
      <c r="Q88" s="23">
        <v>-0.52049180327868849</v>
      </c>
      <c r="R88" s="13">
        <v>-0.28013527422437878</v>
      </c>
    </row>
    <row r="89" spans="1:18" x14ac:dyDescent="0.2">
      <c r="A89" s="5">
        <v>43588</v>
      </c>
      <c r="B89" s="12">
        <v>46739</v>
      </c>
      <c r="C89" s="12">
        <v>1868</v>
      </c>
      <c r="D89" s="12">
        <v>48607</v>
      </c>
      <c r="F89" s="5">
        <v>44319</v>
      </c>
      <c r="G89" s="12">
        <v>33618</v>
      </c>
      <c r="H89" s="12">
        <v>1631</v>
      </c>
      <c r="I89" s="12">
        <v>35249</v>
      </c>
      <c r="K89" s="5">
        <v>43591</v>
      </c>
      <c r="L89" s="5">
        <v>44319</v>
      </c>
      <c r="M89" s="22">
        <v>-7026</v>
      </c>
      <c r="N89" s="22">
        <v>-331</v>
      </c>
      <c r="O89" s="22">
        <v>-7357</v>
      </c>
      <c r="P89" s="23">
        <v>-0.17286684381458517</v>
      </c>
      <c r="Q89" s="23">
        <v>-0.16870540265035683</v>
      </c>
      <c r="R89" s="13">
        <v>-0.17267521006431019</v>
      </c>
    </row>
    <row r="90" spans="1:18" x14ac:dyDescent="0.2">
      <c r="A90" s="5">
        <v>43589</v>
      </c>
      <c r="B90" s="12">
        <v>38251</v>
      </c>
      <c r="C90" s="12">
        <v>541</v>
      </c>
      <c r="D90" s="12">
        <v>38792</v>
      </c>
      <c r="F90" s="5">
        <v>44320</v>
      </c>
      <c r="G90" s="12">
        <v>33333</v>
      </c>
      <c r="H90" s="12">
        <v>1721</v>
      </c>
      <c r="I90" s="12">
        <v>35054</v>
      </c>
      <c r="K90" s="5">
        <v>43592</v>
      </c>
      <c r="L90" s="5">
        <v>44320</v>
      </c>
      <c r="M90" s="22">
        <v>-8427</v>
      </c>
      <c r="N90" s="22">
        <v>-236</v>
      </c>
      <c r="O90" s="22">
        <v>-8663</v>
      </c>
      <c r="P90" s="23">
        <v>-0.20179597701149421</v>
      </c>
      <c r="Q90" s="23">
        <v>-0.12059274399591213</v>
      </c>
      <c r="R90" s="13">
        <v>-0.19816089850630192</v>
      </c>
    </row>
    <row r="91" spans="1:18" x14ac:dyDescent="0.2">
      <c r="A91" s="5">
        <v>43590</v>
      </c>
      <c r="B91" s="12">
        <v>33761</v>
      </c>
      <c r="C91" s="12">
        <v>244</v>
      </c>
      <c r="D91" s="12">
        <v>34005</v>
      </c>
      <c r="F91" s="5">
        <v>44321</v>
      </c>
      <c r="G91" s="12">
        <v>34087</v>
      </c>
      <c r="H91" s="12">
        <v>1703</v>
      </c>
      <c r="I91" s="12">
        <v>35790</v>
      </c>
      <c r="K91" s="5">
        <v>43593</v>
      </c>
      <c r="L91" s="5">
        <v>44321</v>
      </c>
      <c r="M91" s="22">
        <v>-7294</v>
      </c>
      <c r="N91" s="22">
        <v>-102</v>
      </c>
      <c r="O91" s="22">
        <v>-7396</v>
      </c>
      <c r="P91" s="23">
        <v>-0.17626446920084093</v>
      </c>
      <c r="Q91" s="23">
        <v>-5.6509695290858697E-2</v>
      </c>
      <c r="R91" s="13">
        <v>-0.1712592043717871</v>
      </c>
    </row>
    <row r="92" spans="1:18" x14ac:dyDescent="0.2">
      <c r="A92" s="5">
        <v>43591</v>
      </c>
      <c r="B92" s="12">
        <v>40644</v>
      </c>
      <c r="C92" s="12">
        <v>1962</v>
      </c>
      <c r="D92" s="12">
        <v>42606</v>
      </c>
      <c r="F92" s="5">
        <v>44322</v>
      </c>
      <c r="G92" s="12">
        <v>34447</v>
      </c>
      <c r="H92" s="12">
        <v>1797</v>
      </c>
      <c r="I92" s="12">
        <v>36244</v>
      </c>
      <c r="K92" s="5">
        <v>43594</v>
      </c>
      <c r="L92" s="5">
        <v>44322</v>
      </c>
      <c r="M92" s="22">
        <v>-8037</v>
      </c>
      <c r="N92" s="22">
        <v>-177</v>
      </c>
      <c r="O92" s="22">
        <v>-8214</v>
      </c>
      <c r="P92" s="23">
        <v>-0.18917710196779969</v>
      </c>
      <c r="Q92" s="23">
        <v>-8.9665653495440756E-2</v>
      </c>
      <c r="R92" s="13">
        <v>-0.18475864861217328</v>
      </c>
    </row>
    <row r="93" spans="1:18" x14ac:dyDescent="0.2">
      <c r="A93" s="5">
        <v>43592</v>
      </c>
      <c r="B93" s="12">
        <v>41760</v>
      </c>
      <c r="C93" s="12">
        <v>1957</v>
      </c>
      <c r="D93" s="12">
        <v>43717</v>
      </c>
      <c r="F93" s="5">
        <v>44323</v>
      </c>
      <c r="G93" s="12">
        <v>36973</v>
      </c>
      <c r="H93" s="12">
        <v>1628</v>
      </c>
      <c r="I93" s="12">
        <v>38601</v>
      </c>
      <c r="K93" s="5">
        <v>43595</v>
      </c>
      <c r="L93" s="5">
        <v>44323</v>
      </c>
      <c r="M93" s="22">
        <v>-9950</v>
      </c>
      <c r="N93" s="22">
        <v>-191</v>
      </c>
      <c r="O93" s="22">
        <v>-10141</v>
      </c>
      <c r="P93" s="23">
        <v>-0.21204952795004584</v>
      </c>
      <c r="Q93" s="23">
        <v>-0.1050027487630566</v>
      </c>
      <c r="R93" s="13">
        <v>-0.20805465512289201</v>
      </c>
    </row>
    <row r="94" spans="1:18" x14ac:dyDescent="0.2">
      <c r="A94" s="5">
        <v>43593</v>
      </c>
      <c r="B94" s="12">
        <v>41381</v>
      </c>
      <c r="C94" s="12">
        <v>1805</v>
      </c>
      <c r="D94" s="12">
        <v>43186</v>
      </c>
      <c r="F94" s="5">
        <v>44324</v>
      </c>
      <c r="G94" s="12">
        <v>33312</v>
      </c>
      <c r="H94" s="12">
        <v>402</v>
      </c>
      <c r="I94" s="12">
        <v>33714</v>
      </c>
      <c r="K94" s="5">
        <v>43596</v>
      </c>
      <c r="L94" s="5">
        <v>44324</v>
      </c>
      <c r="M94" s="22">
        <v>-4447</v>
      </c>
      <c r="N94" s="22">
        <v>-70</v>
      </c>
      <c r="O94" s="22">
        <v>-4517</v>
      </c>
      <c r="P94" s="23">
        <v>-0.11777324611350937</v>
      </c>
      <c r="Q94" s="23">
        <v>-0.14830508474576276</v>
      </c>
      <c r="R94" s="13">
        <v>-0.11815019225236068</v>
      </c>
    </row>
    <row r="95" spans="1:18" x14ac:dyDescent="0.2">
      <c r="A95" s="5">
        <v>43594</v>
      </c>
      <c r="B95" s="12">
        <v>42484</v>
      </c>
      <c r="C95" s="12">
        <v>1974</v>
      </c>
      <c r="D95" s="12">
        <v>44458</v>
      </c>
      <c r="F95" s="5">
        <v>44325</v>
      </c>
      <c r="G95" s="12">
        <v>32225</v>
      </c>
      <c r="H95" s="12">
        <v>140</v>
      </c>
      <c r="I95" s="12">
        <v>32365</v>
      </c>
      <c r="K95" s="5">
        <v>43597</v>
      </c>
      <c r="L95" s="5">
        <v>44325</v>
      </c>
      <c r="M95" s="22">
        <v>-2529</v>
      </c>
      <c r="N95" s="22">
        <v>-91</v>
      </c>
      <c r="O95" s="22">
        <v>-2620</v>
      </c>
      <c r="P95" s="23">
        <v>-7.2768602175289132E-2</v>
      </c>
      <c r="Q95" s="23">
        <v>-0.39393939393939392</v>
      </c>
      <c r="R95" s="13">
        <v>-7.4889238244962075E-2</v>
      </c>
    </row>
    <row r="96" spans="1:18" x14ac:dyDescent="0.2">
      <c r="A96" s="5">
        <v>43595</v>
      </c>
      <c r="B96" s="12">
        <v>46923</v>
      </c>
      <c r="C96" s="12">
        <v>1819</v>
      </c>
      <c r="D96" s="12">
        <v>48742</v>
      </c>
      <c r="F96" s="5">
        <v>44326</v>
      </c>
      <c r="G96" s="12">
        <v>31928</v>
      </c>
      <c r="H96" s="12">
        <v>1588</v>
      </c>
      <c r="I96" s="12">
        <v>33516</v>
      </c>
      <c r="K96" s="5">
        <v>43598</v>
      </c>
      <c r="L96" s="5">
        <v>44326</v>
      </c>
      <c r="M96" s="12">
        <v>-8588</v>
      </c>
      <c r="N96" s="12">
        <v>-237</v>
      </c>
      <c r="O96" s="12">
        <v>-8825</v>
      </c>
      <c r="P96" s="9">
        <v>-0.21196564320268541</v>
      </c>
      <c r="Q96" s="9">
        <v>-0.12986301369863018</v>
      </c>
      <c r="R96" s="13">
        <v>-0.20842682033962356</v>
      </c>
    </row>
    <row r="97" spans="1:18" x14ac:dyDescent="0.2">
      <c r="A97" s="5">
        <v>43596</v>
      </c>
      <c r="B97" s="12">
        <v>37759</v>
      </c>
      <c r="C97" s="12">
        <v>472</v>
      </c>
      <c r="D97" s="12">
        <v>38231</v>
      </c>
      <c r="F97" s="5">
        <v>44327</v>
      </c>
      <c r="G97" s="12">
        <v>33616</v>
      </c>
      <c r="H97" s="12">
        <v>1854</v>
      </c>
      <c r="I97" s="12">
        <v>35470</v>
      </c>
      <c r="K97" s="5">
        <v>43599</v>
      </c>
      <c r="L97" s="5">
        <v>44327</v>
      </c>
      <c r="M97" s="12">
        <v>-8383</v>
      </c>
      <c r="N97" s="12">
        <v>-35</v>
      </c>
      <c r="O97" s="12">
        <v>-8418</v>
      </c>
      <c r="P97" s="9">
        <v>-0.19959999047596366</v>
      </c>
      <c r="Q97" s="9">
        <v>-1.8528321863419794E-2</v>
      </c>
      <c r="R97" s="13">
        <v>-0.19180641633248263</v>
      </c>
    </row>
    <row r="98" spans="1:18" x14ac:dyDescent="0.2">
      <c r="A98" s="5">
        <v>43597</v>
      </c>
      <c r="B98" s="12">
        <v>34754</v>
      </c>
      <c r="C98" s="12">
        <v>231</v>
      </c>
      <c r="D98" s="12">
        <v>34985</v>
      </c>
      <c r="F98" s="5">
        <v>44328</v>
      </c>
      <c r="G98" s="12">
        <v>39146</v>
      </c>
      <c r="H98" s="12">
        <v>1730</v>
      </c>
      <c r="I98" s="12">
        <v>40876</v>
      </c>
      <c r="K98" s="5">
        <v>43600</v>
      </c>
      <c r="L98" s="5">
        <v>44328</v>
      </c>
      <c r="M98" s="12">
        <v>-2682</v>
      </c>
      <c r="N98" s="12">
        <v>-135</v>
      </c>
      <c r="O98" s="12">
        <v>-2817</v>
      </c>
      <c r="P98" s="9">
        <v>-6.4119728411590304E-2</v>
      </c>
      <c r="Q98" s="9">
        <v>-7.2386058981233292E-2</v>
      </c>
      <c r="R98" s="13">
        <v>-6.447256997688422E-2</v>
      </c>
    </row>
    <row r="99" spans="1:18" x14ac:dyDescent="0.2">
      <c r="A99" s="5">
        <v>43598</v>
      </c>
      <c r="B99" s="12">
        <v>40516</v>
      </c>
      <c r="C99" s="12">
        <v>1825</v>
      </c>
      <c r="D99" s="12">
        <v>42341</v>
      </c>
      <c r="F99" s="5">
        <v>44329</v>
      </c>
      <c r="G99" s="12">
        <v>26090</v>
      </c>
      <c r="H99" s="12">
        <v>192</v>
      </c>
      <c r="I99" s="12">
        <v>26282</v>
      </c>
      <c r="K99" s="5">
        <v>43601</v>
      </c>
      <c r="L99" s="5">
        <v>44329</v>
      </c>
      <c r="M99" s="12">
        <v>-17968</v>
      </c>
      <c r="N99" s="12">
        <v>-1685</v>
      </c>
      <c r="O99" s="12">
        <v>-19653</v>
      </c>
      <c r="P99" s="9">
        <v>-0.40782604748286355</v>
      </c>
      <c r="Q99" s="9">
        <v>-0.89770911028236544</v>
      </c>
      <c r="R99" s="13">
        <v>-0.42784369217372376</v>
      </c>
    </row>
    <row r="100" spans="1:18" x14ac:dyDescent="0.2">
      <c r="A100" s="5">
        <v>43599</v>
      </c>
      <c r="B100" s="12">
        <v>41999</v>
      </c>
      <c r="C100" s="12">
        <v>1889</v>
      </c>
      <c r="D100" s="12">
        <v>43888</v>
      </c>
      <c r="F100" s="5">
        <v>44330</v>
      </c>
      <c r="G100" s="12">
        <v>30028</v>
      </c>
      <c r="H100" s="12">
        <v>1092</v>
      </c>
      <c r="I100" s="12">
        <v>31120</v>
      </c>
      <c r="K100" s="5">
        <v>43602</v>
      </c>
      <c r="L100" s="5">
        <v>44330</v>
      </c>
      <c r="M100" s="12">
        <v>-15938</v>
      </c>
      <c r="N100" s="12">
        <v>-779</v>
      </c>
      <c r="O100" s="12">
        <v>-16717</v>
      </c>
      <c r="P100" s="9">
        <v>-0.34673454292303008</v>
      </c>
      <c r="Q100" s="9">
        <v>-0.41635489043292362</v>
      </c>
      <c r="R100" s="13">
        <v>-0.34945753287204462</v>
      </c>
    </row>
    <row r="101" spans="1:18" x14ac:dyDescent="0.2">
      <c r="A101" s="5">
        <v>43600</v>
      </c>
      <c r="B101" s="12">
        <v>41828</v>
      </c>
      <c r="C101" s="12">
        <v>1865</v>
      </c>
      <c r="D101" s="12">
        <v>43693</v>
      </c>
      <c r="F101" s="5">
        <v>44331</v>
      </c>
      <c r="G101" s="12">
        <v>26941</v>
      </c>
      <c r="H101" s="12">
        <v>361</v>
      </c>
      <c r="I101" s="12">
        <v>27302</v>
      </c>
      <c r="K101" s="5">
        <v>43603</v>
      </c>
      <c r="L101" s="5">
        <v>44331</v>
      </c>
      <c r="M101" s="12">
        <v>-10931</v>
      </c>
      <c r="N101" s="12">
        <v>-195</v>
      </c>
      <c r="O101" s="12">
        <v>-11126</v>
      </c>
      <c r="P101" s="9">
        <v>-0.28863012251795517</v>
      </c>
      <c r="Q101" s="9">
        <v>-0.35071942446043169</v>
      </c>
      <c r="R101" s="13">
        <v>-0.2895284688248152</v>
      </c>
    </row>
    <row r="102" spans="1:18" x14ac:dyDescent="0.2">
      <c r="A102" s="5">
        <v>43601</v>
      </c>
      <c r="B102" s="12">
        <v>44058</v>
      </c>
      <c r="C102" s="12">
        <v>1877</v>
      </c>
      <c r="D102" s="12">
        <v>45935</v>
      </c>
      <c r="F102" s="5">
        <v>44332</v>
      </c>
      <c r="G102" s="12">
        <v>27646</v>
      </c>
      <c r="H102" s="12">
        <v>132</v>
      </c>
      <c r="I102" s="12">
        <v>27778</v>
      </c>
      <c r="K102" s="5">
        <v>43604</v>
      </c>
      <c r="L102" s="5">
        <v>44332</v>
      </c>
      <c r="M102" s="12">
        <v>-5877</v>
      </c>
      <c r="N102" s="12">
        <v>-144</v>
      </c>
      <c r="O102" s="12">
        <v>-6021</v>
      </c>
      <c r="P102" s="9">
        <v>-0.17531247203412581</v>
      </c>
      <c r="Q102" s="9">
        <v>-0.52173913043478259</v>
      </c>
      <c r="R102" s="13">
        <v>-0.1781413651291458</v>
      </c>
    </row>
    <row r="103" spans="1:18" x14ac:dyDescent="0.2">
      <c r="A103" s="5">
        <v>43602</v>
      </c>
      <c r="B103" s="12">
        <v>45966</v>
      </c>
      <c r="C103" s="12">
        <v>1871</v>
      </c>
      <c r="D103" s="12">
        <v>47837</v>
      </c>
      <c r="F103" s="5">
        <v>44333</v>
      </c>
      <c r="G103" s="12">
        <v>32604</v>
      </c>
      <c r="H103" s="12">
        <v>1660</v>
      </c>
      <c r="I103" s="12">
        <v>34264</v>
      </c>
      <c r="K103" s="5">
        <v>43605</v>
      </c>
      <c r="L103" s="5">
        <v>44333</v>
      </c>
      <c r="M103" s="12">
        <v>-7706</v>
      </c>
      <c r="N103" s="12">
        <v>-126</v>
      </c>
      <c r="O103" s="12">
        <v>-7832</v>
      </c>
      <c r="P103" s="9">
        <v>-0.19116844455470106</v>
      </c>
      <c r="Q103" s="9">
        <v>-7.0548712206047082E-2</v>
      </c>
      <c r="R103" s="13">
        <v>-0.18605093120486504</v>
      </c>
    </row>
    <row r="104" spans="1:18" x14ac:dyDescent="0.2">
      <c r="A104" s="5">
        <v>43603</v>
      </c>
      <c r="B104" s="12">
        <v>37872</v>
      </c>
      <c r="C104" s="12">
        <v>556</v>
      </c>
      <c r="D104" s="12">
        <v>38428</v>
      </c>
      <c r="F104" s="5">
        <v>44334</v>
      </c>
      <c r="G104" s="12">
        <v>33412</v>
      </c>
      <c r="H104" s="12">
        <v>1745</v>
      </c>
      <c r="I104" s="12">
        <v>35157</v>
      </c>
      <c r="K104" s="5">
        <v>43606</v>
      </c>
      <c r="L104" s="5">
        <v>44334</v>
      </c>
      <c r="M104" s="12">
        <v>-7985</v>
      </c>
      <c r="N104" s="12">
        <v>-162</v>
      </c>
      <c r="O104" s="12">
        <v>-8147</v>
      </c>
      <c r="P104" s="9">
        <v>-0.19288837355363919</v>
      </c>
      <c r="Q104" s="9">
        <v>-8.4950183534347135E-2</v>
      </c>
      <c r="R104" s="13">
        <v>-0.18813504526140767</v>
      </c>
    </row>
    <row r="105" spans="1:18" x14ac:dyDescent="0.2">
      <c r="A105" s="5">
        <v>43604</v>
      </c>
      <c r="B105" s="12">
        <v>33523</v>
      </c>
      <c r="C105" s="12">
        <v>276</v>
      </c>
      <c r="D105" s="12">
        <v>33799</v>
      </c>
      <c r="F105" s="5">
        <v>44335</v>
      </c>
      <c r="G105" s="12">
        <v>33882</v>
      </c>
      <c r="H105" s="12">
        <v>1476</v>
      </c>
      <c r="I105" s="12">
        <v>35358</v>
      </c>
      <c r="K105" s="5">
        <v>43607</v>
      </c>
      <c r="L105" s="5">
        <v>44335</v>
      </c>
      <c r="M105" s="12">
        <v>-8772</v>
      </c>
      <c r="N105" s="12">
        <v>-442</v>
      </c>
      <c r="O105" s="12">
        <v>-9214</v>
      </c>
      <c r="P105" s="9">
        <v>-0.20565480376986922</v>
      </c>
      <c r="Q105" s="9">
        <v>-0.23044838373305532</v>
      </c>
      <c r="R105" s="13">
        <v>-0.20672170869604234</v>
      </c>
    </row>
    <row r="106" spans="1:18" x14ac:dyDescent="0.2">
      <c r="A106" s="5">
        <v>43605</v>
      </c>
      <c r="B106" s="12">
        <v>40310</v>
      </c>
      <c r="C106" s="12">
        <v>1786</v>
      </c>
      <c r="D106" s="12">
        <v>42096</v>
      </c>
      <c r="F106" s="5">
        <v>44336</v>
      </c>
      <c r="G106" s="12">
        <v>36817</v>
      </c>
      <c r="H106" s="12">
        <v>1841</v>
      </c>
      <c r="I106" s="12">
        <v>38658</v>
      </c>
      <c r="K106" s="5">
        <v>43608</v>
      </c>
      <c r="L106" s="5">
        <v>44336</v>
      </c>
      <c r="M106" s="12">
        <v>-6491</v>
      </c>
      <c r="N106" s="12">
        <v>-99</v>
      </c>
      <c r="O106" s="12">
        <v>-6590</v>
      </c>
      <c r="P106" s="9">
        <v>-0.14987992980511688</v>
      </c>
      <c r="Q106" s="9">
        <v>-5.1030927835051587E-2</v>
      </c>
      <c r="R106" s="13">
        <v>-0.14564179632248941</v>
      </c>
    </row>
    <row r="107" spans="1:18" x14ac:dyDescent="0.2">
      <c r="A107" s="5">
        <v>43606</v>
      </c>
      <c r="B107" s="12">
        <v>41397</v>
      </c>
      <c r="C107" s="12">
        <v>1907</v>
      </c>
      <c r="D107" s="12">
        <v>43304</v>
      </c>
      <c r="F107" s="5">
        <v>44337</v>
      </c>
      <c r="G107" s="12">
        <v>38930</v>
      </c>
      <c r="H107" s="12">
        <v>1654</v>
      </c>
      <c r="I107" s="12">
        <v>40584</v>
      </c>
      <c r="K107" s="5">
        <v>43609</v>
      </c>
      <c r="L107" s="5">
        <v>44337</v>
      </c>
      <c r="M107" s="12">
        <v>-9097</v>
      </c>
      <c r="N107" s="12">
        <v>-220</v>
      </c>
      <c r="O107" s="12">
        <v>-9317</v>
      </c>
      <c r="P107" s="9">
        <v>-0.18941428779644787</v>
      </c>
      <c r="Q107" s="9">
        <v>-0.11739594450373536</v>
      </c>
      <c r="R107" s="13">
        <v>-0.18670968517664976</v>
      </c>
    </row>
    <row r="108" spans="1:18" x14ac:dyDescent="0.2">
      <c r="A108" s="5">
        <v>43607</v>
      </c>
      <c r="B108" s="12">
        <v>42654</v>
      </c>
      <c r="C108" s="12">
        <v>1918</v>
      </c>
      <c r="D108" s="12">
        <v>44572</v>
      </c>
      <c r="F108" s="5">
        <v>44338</v>
      </c>
      <c r="G108" s="12">
        <v>31570</v>
      </c>
      <c r="H108" s="12">
        <v>404</v>
      </c>
      <c r="I108" s="12">
        <v>31974</v>
      </c>
      <c r="K108" s="5">
        <v>43610</v>
      </c>
      <c r="L108" s="5">
        <v>44338</v>
      </c>
      <c r="M108" s="12">
        <v>-8315</v>
      </c>
      <c r="N108" s="12">
        <v>-204</v>
      </c>
      <c r="O108" s="12">
        <v>-8519</v>
      </c>
      <c r="P108" s="9">
        <v>-0.20847436379591322</v>
      </c>
      <c r="Q108" s="9">
        <v>-0.33552631578947367</v>
      </c>
      <c r="R108" s="13">
        <v>-0.21038204134047855</v>
      </c>
    </row>
    <row r="109" spans="1:18" x14ac:dyDescent="0.2">
      <c r="A109" s="5">
        <v>43608</v>
      </c>
      <c r="B109" s="12">
        <v>43308</v>
      </c>
      <c r="C109" s="12">
        <v>1940</v>
      </c>
      <c r="D109" s="12">
        <v>45248</v>
      </c>
      <c r="F109" s="5">
        <v>44339</v>
      </c>
      <c r="G109" s="12">
        <v>28598</v>
      </c>
      <c r="H109" s="12">
        <v>109</v>
      </c>
      <c r="I109" s="12">
        <v>28707</v>
      </c>
      <c r="K109" s="5">
        <v>43611</v>
      </c>
      <c r="L109" s="5">
        <v>44339</v>
      </c>
      <c r="M109" s="12">
        <v>-8077</v>
      </c>
      <c r="N109" s="12">
        <v>-158</v>
      </c>
      <c r="O109" s="12">
        <v>-8235</v>
      </c>
      <c r="P109" s="9">
        <v>-0.22023176550783907</v>
      </c>
      <c r="Q109" s="9">
        <v>-0.59176029962546817</v>
      </c>
      <c r="R109" s="13">
        <v>-0.22291700503491962</v>
      </c>
    </row>
    <row r="110" spans="1:18" x14ac:dyDescent="0.2">
      <c r="A110" s="5">
        <v>43609</v>
      </c>
      <c r="B110" s="12">
        <v>48027</v>
      </c>
      <c r="C110" s="12">
        <v>1874</v>
      </c>
      <c r="D110" s="12">
        <v>49901</v>
      </c>
      <c r="F110" s="5">
        <v>44340</v>
      </c>
      <c r="G110" s="12">
        <v>28406</v>
      </c>
      <c r="H110" s="12">
        <v>208</v>
      </c>
      <c r="I110" s="12">
        <v>28614</v>
      </c>
      <c r="K110" s="5">
        <v>43612</v>
      </c>
      <c r="L110" s="5">
        <v>44340</v>
      </c>
      <c r="M110" s="12">
        <v>-13391</v>
      </c>
      <c r="N110" s="12">
        <v>-1658</v>
      </c>
      <c r="O110" s="12">
        <v>-15049</v>
      </c>
      <c r="P110" s="9">
        <v>-0.32038184558700389</v>
      </c>
      <c r="Q110" s="9">
        <v>-0.88853161843515538</v>
      </c>
      <c r="R110" s="13">
        <v>-0.34466252891464166</v>
      </c>
    </row>
    <row r="111" spans="1:18" x14ac:dyDescent="0.2">
      <c r="A111" s="5">
        <v>43610</v>
      </c>
      <c r="B111" s="12">
        <v>39885</v>
      </c>
      <c r="C111" s="12">
        <v>608</v>
      </c>
      <c r="D111" s="12">
        <v>40493</v>
      </c>
      <c r="F111" s="5">
        <v>44341</v>
      </c>
      <c r="G111" s="12">
        <v>34897</v>
      </c>
      <c r="H111" s="12">
        <v>1791</v>
      </c>
      <c r="I111" s="12">
        <v>36688</v>
      </c>
      <c r="K111" s="5">
        <v>43613</v>
      </c>
      <c r="L111" s="5">
        <v>44341</v>
      </c>
      <c r="M111" s="12">
        <v>-7951</v>
      </c>
      <c r="N111" s="12">
        <v>-230</v>
      </c>
      <c r="O111" s="12">
        <v>-8181</v>
      </c>
      <c r="P111" s="9">
        <v>-0.18556292008961917</v>
      </c>
      <c r="Q111" s="9">
        <v>-0.11380504700643246</v>
      </c>
      <c r="R111" s="13">
        <v>-0.18233078517461943</v>
      </c>
    </row>
    <row r="112" spans="1:18" x14ac:dyDescent="0.2">
      <c r="A112" s="5">
        <v>43611</v>
      </c>
      <c r="B112" s="12">
        <v>36675</v>
      </c>
      <c r="C112" s="12">
        <v>267</v>
      </c>
      <c r="D112" s="12">
        <v>36942</v>
      </c>
      <c r="F112" s="5">
        <v>44342</v>
      </c>
      <c r="G112" s="12">
        <v>35159</v>
      </c>
      <c r="H112" s="12">
        <v>1888</v>
      </c>
      <c r="I112" s="12">
        <v>37047</v>
      </c>
      <c r="K112" s="5">
        <v>43614</v>
      </c>
      <c r="L112" s="5">
        <v>44342</v>
      </c>
      <c r="M112" s="12">
        <v>-16639</v>
      </c>
      <c r="N112" s="12">
        <v>-275</v>
      </c>
      <c r="O112" s="12">
        <v>-16914</v>
      </c>
      <c r="P112" s="9">
        <v>-0.32122861886559329</v>
      </c>
      <c r="Q112" s="9">
        <v>-0.12713823393435042</v>
      </c>
      <c r="R112" s="13">
        <v>-0.31344860176794354</v>
      </c>
    </row>
    <row r="113" spans="1:18" x14ac:dyDescent="0.2">
      <c r="A113" s="5">
        <v>43612</v>
      </c>
      <c r="B113" s="12">
        <v>41797</v>
      </c>
      <c r="C113" s="12">
        <v>1866</v>
      </c>
      <c r="D113" s="12">
        <v>43663</v>
      </c>
      <c r="F113" s="5">
        <v>44343</v>
      </c>
      <c r="G113" s="12">
        <v>36801</v>
      </c>
      <c r="H113" s="12">
        <v>1862</v>
      </c>
      <c r="I113" s="12">
        <v>38663</v>
      </c>
      <c r="K113" s="5">
        <v>43615</v>
      </c>
      <c r="L113" s="5">
        <v>44343</v>
      </c>
      <c r="M113" s="12">
        <v>-4054</v>
      </c>
      <c r="N113" s="12">
        <v>1490</v>
      </c>
      <c r="O113" s="12">
        <v>-2564</v>
      </c>
      <c r="P113" s="9">
        <v>-9.9228980540937428E-2</v>
      </c>
      <c r="Q113" s="9">
        <v>4.0053763440860219</v>
      </c>
      <c r="R113" s="13">
        <v>-6.2192252649962421E-2</v>
      </c>
    </row>
    <row r="114" spans="1:18" x14ac:dyDescent="0.2">
      <c r="A114" s="5">
        <v>43613</v>
      </c>
      <c r="B114" s="12">
        <v>42848</v>
      </c>
      <c r="C114" s="12">
        <v>2021</v>
      </c>
      <c r="D114" s="12">
        <v>44869</v>
      </c>
      <c r="F114" s="5">
        <v>44344</v>
      </c>
      <c r="G114" s="12">
        <v>39566</v>
      </c>
      <c r="H114" s="12">
        <v>1668</v>
      </c>
      <c r="I114" s="12">
        <v>41234</v>
      </c>
      <c r="K114" s="5">
        <v>43616</v>
      </c>
      <c r="L114" s="5">
        <v>44344</v>
      </c>
      <c r="M114" s="12">
        <v>1421</v>
      </c>
      <c r="N114" s="12">
        <v>341</v>
      </c>
      <c r="O114" s="12">
        <v>1762</v>
      </c>
      <c r="P114" s="9">
        <v>3.7252588805872344E-2</v>
      </c>
      <c r="Q114" s="9">
        <v>0.25697061039939717</v>
      </c>
      <c r="R114" s="13">
        <v>4.4639237940818699E-2</v>
      </c>
    </row>
    <row r="115" spans="1:18" x14ac:dyDescent="0.2">
      <c r="A115" s="5">
        <v>43614</v>
      </c>
      <c r="B115" s="12">
        <v>51798</v>
      </c>
      <c r="C115" s="12">
        <v>2163</v>
      </c>
      <c r="D115" s="12">
        <v>53961</v>
      </c>
      <c r="F115" s="5">
        <v>44345</v>
      </c>
      <c r="G115" s="12">
        <v>33084</v>
      </c>
      <c r="H115" s="12">
        <v>463</v>
      </c>
      <c r="I115" s="12">
        <v>33547</v>
      </c>
      <c r="K115" s="5">
        <v>43617</v>
      </c>
      <c r="L115" s="5">
        <v>44345</v>
      </c>
      <c r="M115" s="28" t="s">
        <v>59</v>
      </c>
      <c r="N115" s="28"/>
      <c r="O115" s="28"/>
      <c r="P115" s="28"/>
      <c r="Q115" s="28"/>
      <c r="R115" s="28"/>
    </row>
    <row r="116" spans="1:18" ht="12.6" customHeight="1" x14ac:dyDescent="0.2">
      <c r="A116" s="5">
        <v>43615</v>
      </c>
      <c r="B116" s="12">
        <v>40855</v>
      </c>
      <c r="C116" s="12">
        <v>372</v>
      </c>
      <c r="D116" s="12">
        <v>41227</v>
      </c>
      <c r="F116" s="5">
        <v>44346</v>
      </c>
      <c r="G116" s="12">
        <v>32400</v>
      </c>
      <c r="H116" s="12">
        <v>156</v>
      </c>
      <c r="I116" s="12">
        <v>32556</v>
      </c>
      <c r="K116" s="5">
        <v>43618</v>
      </c>
      <c r="L116" s="5">
        <v>44346</v>
      </c>
      <c r="M116" s="28"/>
      <c r="N116" s="28"/>
      <c r="O116" s="28"/>
      <c r="P116" s="28"/>
      <c r="Q116" s="28"/>
      <c r="R116" s="28"/>
    </row>
    <row r="117" spans="1:18" ht="12.6" customHeight="1" x14ac:dyDescent="0.2">
      <c r="A117" s="5">
        <v>43616</v>
      </c>
      <c r="B117" s="12">
        <v>38145</v>
      </c>
      <c r="C117" s="12">
        <v>1327</v>
      </c>
      <c r="D117" s="12">
        <v>39472</v>
      </c>
      <c r="F117" s="5">
        <v>44347</v>
      </c>
      <c r="G117" s="12">
        <v>34435</v>
      </c>
      <c r="H117" s="12">
        <v>1714</v>
      </c>
      <c r="I117" s="12">
        <v>36149</v>
      </c>
      <c r="K117" s="5">
        <v>43619</v>
      </c>
      <c r="L117" s="5">
        <v>44347</v>
      </c>
      <c r="M117" s="28"/>
      <c r="N117" s="28"/>
      <c r="O117" s="28"/>
      <c r="P117" s="28"/>
      <c r="Q117" s="28"/>
      <c r="R117" s="28"/>
    </row>
    <row r="118" spans="1:18" x14ac:dyDescent="0.2">
      <c r="A118" s="5">
        <v>43617</v>
      </c>
      <c r="B118" s="28" t="s">
        <v>58</v>
      </c>
      <c r="C118" s="28"/>
      <c r="D118" s="28"/>
      <c r="F118" s="5"/>
      <c r="G118" s="12"/>
      <c r="H118" s="12"/>
      <c r="I118" s="12"/>
      <c r="L118" s="5"/>
      <c r="M118" s="20"/>
      <c r="N118" s="20"/>
      <c r="O118" s="20"/>
      <c r="P118" s="20"/>
      <c r="Q118" s="20"/>
      <c r="R118" s="20"/>
    </row>
    <row r="119" spans="1:18" x14ac:dyDescent="0.2">
      <c r="A119" s="5">
        <v>43618</v>
      </c>
      <c r="B119" s="28"/>
      <c r="C119" s="28"/>
      <c r="D119" s="28"/>
      <c r="F119" s="5"/>
      <c r="G119" s="12"/>
      <c r="H119" s="12"/>
      <c r="I119" s="12"/>
      <c r="K119" s="5"/>
      <c r="L119" s="5"/>
      <c r="M119" s="20"/>
      <c r="N119" s="20"/>
      <c r="O119" s="20"/>
      <c r="P119" s="20"/>
      <c r="Q119" s="20"/>
      <c r="R119" s="20"/>
    </row>
    <row r="120" spans="1:18" x14ac:dyDescent="0.2">
      <c r="A120" s="5">
        <v>43619</v>
      </c>
      <c r="B120" s="28"/>
      <c r="C120" s="28"/>
      <c r="D120" s="28"/>
      <c r="F120" s="5"/>
      <c r="G120" s="12"/>
      <c r="H120" s="12"/>
      <c r="I120" s="12"/>
      <c r="K120" s="5"/>
      <c r="L120" s="5"/>
      <c r="M120" s="20"/>
      <c r="N120" s="20"/>
      <c r="O120" s="20"/>
      <c r="P120" s="13"/>
      <c r="Q120" s="13"/>
      <c r="R120" s="13"/>
    </row>
    <row r="121" spans="1:18" x14ac:dyDescent="0.2">
      <c r="A121" s="5"/>
      <c r="B121" s="12"/>
      <c r="C121" s="12"/>
      <c r="D121" s="12"/>
      <c r="F121" s="5"/>
      <c r="G121" s="12"/>
      <c r="H121" s="12"/>
      <c r="I121" s="12"/>
      <c r="K121" s="5"/>
      <c r="L121" s="5"/>
      <c r="M121" s="20"/>
      <c r="N121" s="20"/>
      <c r="O121" s="20"/>
      <c r="P121" s="13"/>
      <c r="Q121" s="13"/>
      <c r="R121" s="13"/>
    </row>
  </sheetData>
  <mergeCells count="17">
    <mergeCell ref="B118:D120"/>
    <mergeCell ref="A85:A86"/>
    <mergeCell ref="F85:F86"/>
    <mergeCell ref="K85:L86"/>
    <mergeCell ref="A47:A48"/>
    <mergeCell ref="F47:F48"/>
    <mergeCell ref="K47:L48"/>
    <mergeCell ref="B80:D82"/>
    <mergeCell ref="M115:R117"/>
    <mergeCell ref="A6:D6"/>
    <mergeCell ref="A7:C7"/>
    <mergeCell ref="A9:A10"/>
    <mergeCell ref="M39:R41"/>
    <mergeCell ref="M77:R79"/>
    <mergeCell ref="F9:F10"/>
    <mergeCell ref="K9:L10"/>
    <mergeCell ref="B42:D44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8"/>
  <dimension ref="A1:R121"/>
  <sheetViews>
    <sheetView zoomScale="80" zoomScaleNormal="8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85546875" bestFit="1" customWidth="1"/>
    <col min="4" max="4" width="15.85546875" bestFit="1" customWidth="1"/>
    <col min="5" max="5" width="1.140625" customWidth="1"/>
    <col min="6" max="6" width="28.5703125" bestFit="1" customWidth="1"/>
    <col min="7" max="7" width="11.85546875" customWidth="1"/>
    <col min="8" max="8" width="7.85546875" bestFit="1" customWidth="1"/>
    <col min="9" max="9" width="15.85546875" bestFit="1" customWidth="1"/>
    <col min="10" max="10" width="0.85546875" customWidth="1"/>
    <col min="11" max="12" width="24.5703125" bestFit="1" customWidth="1"/>
    <col min="13" max="13" width="11.5703125" customWidth="1"/>
    <col min="14" max="14" width="8.5703125" bestFit="1" customWidth="1"/>
    <col min="15" max="15" width="15.85546875" bestFit="1" customWidth="1"/>
    <col min="16" max="16" width="11.5703125" customWidth="1"/>
    <col min="17" max="17" width="6.140625" bestFit="1" customWidth="1"/>
    <col min="18" max="18" width="15.85546875" style="10" bestFit="1" customWidth="1"/>
  </cols>
  <sheetData>
    <row r="1" spans="1:18" ht="15.75" x14ac:dyDescent="0.25">
      <c r="A1" s="11" t="s">
        <v>49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4" t="s">
        <v>47</v>
      </c>
      <c r="B6" s="25"/>
      <c r="C6" s="25"/>
      <c r="D6" s="25"/>
      <c r="E6" s="17"/>
      <c r="F6" s="17"/>
      <c r="G6" s="17"/>
    </row>
    <row r="7" spans="1:18" ht="15" x14ac:dyDescent="0.2">
      <c r="A7" s="24" t="s">
        <v>48</v>
      </c>
      <c r="B7" s="25"/>
      <c r="C7" s="25"/>
    </row>
    <row r="9" spans="1:18" ht="12.95" customHeight="1" x14ac:dyDescent="0.2">
      <c r="A9" s="26" t="s">
        <v>1</v>
      </c>
      <c r="B9" s="6"/>
      <c r="C9" s="6"/>
      <c r="D9" s="3"/>
      <c r="F9" s="26" t="s">
        <v>1</v>
      </c>
      <c r="G9" s="6"/>
      <c r="H9" s="6"/>
      <c r="I9" s="3"/>
      <c r="K9" s="26" t="s">
        <v>3</v>
      </c>
      <c r="L9" s="26"/>
      <c r="M9" s="6"/>
      <c r="N9" s="6"/>
      <c r="O9" s="3"/>
      <c r="P9" s="7"/>
      <c r="Q9" s="6"/>
      <c r="R9" s="3"/>
    </row>
    <row r="10" spans="1:18" ht="28.7" customHeight="1" x14ac:dyDescent="0.2">
      <c r="A10" s="27"/>
      <c r="B10" s="8" t="s">
        <v>38</v>
      </c>
      <c r="C10" s="4" t="s">
        <v>2</v>
      </c>
      <c r="D10" s="4" t="s">
        <v>0</v>
      </c>
      <c r="F10" s="27"/>
      <c r="G10" s="8" t="s">
        <v>38</v>
      </c>
      <c r="H10" s="4" t="s">
        <v>2</v>
      </c>
      <c r="I10" s="4" t="s">
        <v>0</v>
      </c>
      <c r="K10" s="27"/>
      <c r="L10" s="27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43586</v>
      </c>
      <c r="B11" s="12">
        <v>107203</v>
      </c>
      <c r="C11" s="12">
        <v>4981</v>
      </c>
      <c r="D11" s="12">
        <v>112184</v>
      </c>
      <c r="F11" s="5">
        <v>44317</v>
      </c>
      <c r="G11" s="12">
        <v>111600</v>
      </c>
      <c r="H11" s="12">
        <v>1706</v>
      </c>
      <c r="I11" s="12">
        <v>113306</v>
      </c>
      <c r="K11" s="5">
        <v>43589</v>
      </c>
      <c r="L11" s="5">
        <v>44317</v>
      </c>
      <c r="M11" s="12">
        <v>-19838</v>
      </c>
      <c r="N11" s="12">
        <v>-847</v>
      </c>
      <c r="O11" s="12">
        <v>-20685</v>
      </c>
      <c r="P11" s="9">
        <v>-0.15093047672666959</v>
      </c>
      <c r="Q11" s="9">
        <v>-0.33176654915785353</v>
      </c>
      <c r="R11" s="13">
        <v>-0.15437604018180329</v>
      </c>
    </row>
    <row r="12" spans="1:18" x14ac:dyDescent="0.2">
      <c r="A12" s="5">
        <v>43587</v>
      </c>
      <c r="B12" s="12">
        <v>120604</v>
      </c>
      <c r="C12" s="12">
        <v>11882</v>
      </c>
      <c r="D12" s="12">
        <v>132486</v>
      </c>
      <c r="F12" s="5">
        <v>44318</v>
      </c>
      <c r="G12" s="12">
        <v>87648</v>
      </c>
      <c r="H12" s="12">
        <v>721</v>
      </c>
      <c r="I12" s="12">
        <v>88369</v>
      </c>
      <c r="K12" s="5">
        <v>43590</v>
      </c>
      <c r="L12" s="5">
        <v>44318</v>
      </c>
      <c r="M12" s="12">
        <v>-23022</v>
      </c>
      <c r="N12" s="12">
        <v>-347</v>
      </c>
      <c r="O12" s="12">
        <v>-23369</v>
      </c>
      <c r="P12" s="9">
        <v>-0.20802385470317164</v>
      </c>
      <c r="Q12" s="9">
        <v>-0.32490636704119846</v>
      </c>
      <c r="R12" s="13">
        <v>-0.2091410263294492</v>
      </c>
    </row>
    <row r="13" spans="1:18" x14ac:dyDescent="0.2">
      <c r="A13" s="5">
        <v>43588</v>
      </c>
      <c r="B13" s="12">
        <v>129024</v>
      </c>
      <c r="C13" s="12">
        <v>11272</v>
      </c>
      <c r="D13" s="12">
        <v>140296</v>
      </c>
      <c r="F13" s="5">
        <v>44319</v>
      </c>
      <c r="G13" s="12">
        <v>105963</v>
      </c>
      <c r="H13" s="12">
        <v>11121</v>
      </c>
      <c r="I13" s="12">
        <v>117084</v>
      </c>
      <c r="K13" s="5">
        <v>43591</v>
      </c>
      <c r="L13" s="5">
        <v>44319</v>
      </c>
      <c r="M13" s="12">
        <v>-11393</v>
      </c>
      <c r="N13" s="12">
        <v>-333</v>
      </c>
      <c r="O13" s="12">
        <v>-11726</v>
      </c>
      <c r="P13" s="9">
        <v>-9.7080677596373399E-2</v>
      </c>
      <c r="Q13" s="9">
        <v>-2.9072812991094765E-2</v>
      </c>
      <c r="R13" s="13">
        <v>-9.1033304867634501E-2</v>
      </c>
    </row>
    <row r="14" spans="1:18" x14ac:dyDescent="0.2">
      <c r="A14" s="5">
        <v>43589</v>
      </c>
      <c r="B14" s="12">
        <v>131438</v>
      </c>
      <c r="C14" s="12">
        <v>2553</v>
      </c>
      <c r="D14" s="12">
        <v>133991</v>
      </c>
      <c r="F14" s="5">
        <v>44320</v>
      </c>
      <c r="G14" s="12">
        <v>108195</v>
      </c>
      <c r="H14" s="12">
        <v>12339</v>
      </c>
      <c r="I14" s="12">
        <v>120534</v>
      </c>
      <c r="K14" s="5">
        <v>43592</v>
      </c>
      <c r="L14" s="5">
        <v>44320</v>
      </c>
      <c r="M14" s="12">
        <v>-9489</v>
      </c>
      <c r="N14" s="12">
        <v>158</v>
      </c>
      <c r="O14" s="12">
        <v>-9331</v>
      </c>
      <c r="P14" s="9">
        <v>-8.0631181808912045E-2</v>
      </c>
      <c r="Q14" s="9">
        <v>1.2971020441671532E-2</v>
      </c>
      <c r="R14" s="13">
        <v>-7.1851538135756399E-2</v>
      </c>
    </row>
    <row r="15" spans="1:18" x14ac:dyDescent="0.2">
      <c r="A15" s="5">
        <v>43590</v>
      </c>
      <c r="B15" s="12">
        <v>110670</v>
      </c>
      <c r="C15" s="12">
        <v>1068</v>
      </c>
      <c r="D15" s="12">
        <v>111738</v>
      </c>
      <c r="F15" s="5">
        <v>44321</v>
      </c>
      <c r="G15" s="12">
        <v>111335</v>
      </c>
      <c r="H15" s="12">
        <v>12600</v>
      </c>
      <c r="I15" s="12">
        <v>123935</v>
      </c>
      <c r="K15" s="5">
        <v>43593</v>
      </c>
      <c r="L15" s="5">
        <v>44321</v>
      </c>
      <c r="M15" s="12">
        <v>-6705</v>
      </c>
      <c r="N15" s="12">
        <v>731</v>
      </c>
      <c r="O15" s="12">
        <v>-5974</v>
      </c>
      <c r="P15" s="9">
        <v>-5.680277871907824E-2</v>
      </c>
      <c r="Q15" s="9">
        <v>6.1589013396242231E-2</v>
      </c>
      <c r="R15" s="13">
        <v>-4.5986036379311646E-2</v>
      </c>
    </row>
    <row r="16" spans="1:18" x14ac:dyDescent="0.2">
      <c r="A16" s="5">
        <v>43591</v>
      </c>
      <c r="B16" s="12">
        <v>117356</v>
      </c>
      <c r="C16" s="12">
        <v>11454</v>
      </c>
      <c r="D16" s="12">
        <v>128810</v>
      </c>
      <c r="F16" s="5">
        <v>44322</v>
      </c>
      <c r="G16" s="12">
        <v>110888</v>
      </c>
      <c r="H16" s="12">
        <v>12585</v>
      </c>
      <c r="I16" s="12">
        <v>123473</v>
      </c>
      <c r="K16" s="5">
        <v>43594</v>
      </c>
      <c r="L16" s="5">
        <v>44322</v>
      </c>
      <c r="M16" s="12">
        <v>-11728</v>
      </c>
      <c r="N16" s="12">
        <v>611</v>
      </c>
      <c r="O16" s="12">
        <v>-11117</v>
      </c>
      <c r="P16" s="9">
        <v>-9.5648202518431535E-2</v>
      </c>
      <c r="Q16" s="9">
        <v>5.1027225655587038E-2</v>
      </c>
      <c r="R16" s="13">
        <v>-8.2599004383683727E-2</v>
      </c>
    </row>
    <row r="17" spans="1:18" x14ac:dyDescent="0.2">
      <c r="A17" s="5">
        <v>43592</v>
      </c>
      <c r="B17" s="12">
        <v>117684</v>
      </c>
      <c r="C17" s="12">
        <v>12181</v>
      </c>
      <c r="D17" s="12">
        <v>129865</v>
      </c>
      <c r="F17" s="5">
        <v>44323</v>
      </c>
      <c r="G17" s="12">
        <v>122221</v>
      </c>
      <c r="H17" s="12">
        <v>11651</v>
      </c>
      <c r="I17" s="12">
        <v>133872</v>
      </c>
      <c r="K17" s="5">
        <v>43595</v>
      </c>
      <c r="L17" s="5">
        <v>44323</v>
      </c>
      <c r="M17" s="12">
        <v>-10546</v>
      </c>
      <c r="N17" s="12">
        <v>488</v>
      </c>
      <c r="O17" s="12">
        <v>-10058</v>
      </c>
      <c r="P17" s="9">
        <v>-7.9432389072585763E-2</v>
      </c>
      <c r="Q17" s="9">
        <v>4.3715846994535568E-2</v>
      </c>
      <c r="R17" s="13">
        <v>-6.9881192246230794E-2</v>
      </c>
    </row>
    <row r="18" spans="1:18" x14ac:dyDescent="0.2">
      <c r="A18" s="5">
        <v>43593</v>
      </c>
      <c r="B18" s="12">
        <v>118040</v>
      </c>
      <c r="C18" s="12">
        <v>11869</v>
      </c>
      <c r="D18" s="12">
        <v>129909</v>
      </c>
      <c r="F18" s="5">
        <v>44324</v>
      </c>
      <c r="G18" s="12">
        <v>124245</v>
      </c>
      <c r="H18" s="12">
        <v>2565</v>
      </c>
      <c r="I18" s="12">
        <v>126810</v>
      </c>
      <c r="K18" s="5">
        <v>43596</v>
      </c>
      <c r="L18" s="5">
        <v>44324</v>
      </c>
      <c r="M18" s="12">
        <v>-9024</v>
      </c>
      <c r="N18" s="12">
        <v>-156</v>
      </c>
      <c r="O18" s="12">
        <v>-9180</v>
      </c>
      <c r="P18" s="9">
        <v>-6.7712671363933108E-2</v>
      </c>
      <c r="Q18" s="9">
        <v>-5.7331863285556728E-2</v>
      </c>
      <c r="R18" s="13">
        <v>-6.75049636002647E-2</v>
      </c>
    </row>
    <row r="19" spans="1:18" x14ac:dyDescent="0.2">
      <c r="A19" s="5">
        <v>43594</v>
      </c>
      <c r="B19" s="12">
        <v>122616</v>
      </c>
      <c r="C19" s="12">
        <v>11974</v>
      </c>
      <c r="D19" s="12">
        <v>134590</v>
      </c>
      <c r="F19" s="5">
        <v>44325</v>
      </c>
      <c r="G19" s="12">
        <v>107667</v>
      </c>
      <c r="H19" s="12">
        <v>674</v>
      </c>
      <c r="I19" s="12">
        <v>108341</v>
      </c>
      <c r="K19" s="5">
        <v>43597</v>
      </c>
      <c r="L19" s="5">
        <v>44325</v>
      </c>
      <c r="M19" s="12">
        <v>-8278</v>
      </c>
      <c r="N19" s="12">
        <v>-231</v>
      </c>
      <c r="O19" s="12">
        <v>-8509</v>
      </c>
      <c r="P19" s="9">
        <v>-7.1395920479537689E-2</v>
      </c>
      <c r="Q19" s="9">
        <v>-0.25524861878453042</v>
      </c>
      <c r="R19" s="13">
        <v>-7.2819854514334592E-2</v>
      </c>
    </row>
    <row r="20" spans="1:18" x14ac:dyDescent="0.2">
      <c r="A20" s="5">
        <v>43595</v>
      </c>
      <c r="B20" s="12">
        <v>132767</v>
      </c>
      <c r="C20" s="12">
        <v>11163</v>
      </c>
      <c r="D20" s="12">
        <v>143930</v>
      </c>
      <c r="F20" s="5">
        <v>44326</v>
      </c>
      <c r="G20" s="12">
        <v>107230</v>
      </c>
      <c r="H20" s="12">
        <v>12070</v>
      </c>
      <c r="I20" s="12">
        <v>119300</v>
      </c>
      <c r="K20" s="5">
        <v>43598</v>
      </c>
      <c r="L20" s="5">
        <v>44326</v>
      </c>
      <c r="M20" s="12">
        <v>-11092</v>
      </c>
      <c r="N20" s="12">
        <v>444</v>
      </c>
      <c r="O20" s="12">
        <v>-10648</v>
      </c>
      <c r="P20" s="9">
        <v>-9.3744189584354598E-2</v>
      </c>
      <c r="Q20" s="9">
        <v>3.8190263203165209E-2</v>
      </c>
      <c r="R20" s="13">
        <v>-8.1940468495090291E-2</v>
      </c>
    </row>
    <row r="21" spans="1:18" x14ac:dyDescent="0.2">
      <c r="A21" s="5">
        <v>43596</v>
      </c>
      <c r="B21" s="12">
        <v>133269</v>
      </c>
      <c r="C21" s="12">
        <v>2721</v>
      </c>
      <c r="D21" s="12">
        <v>135990</v>
      </c>
      <c r="F21" s="5">
        <v>44327</v>
      </c>
      <c r="G21" s="12">
        <v>106808</v>
      </c>
      <c r="H21" s="12">
        <v>13026</v>
      </c>
      <c r="I21" s="12">
        <v>119834</v>
      </c>
      <c r="K21" s="5">
        <v>43599</v>
      </c>
      <c r="L21" s="5">
        <v>44327</v>
      </c>
      <c r="M21" s="12">
        <v>-11400</v>
      </c>
      <c r="N21" s="12">
        <v>912</v>
      </c>
      <c r="O21" s="12">
        <v>-10488</v>
      </c>
      <c r="P21" s="9">
        <v>-9.6440173253925288E-2</v>
      </c>
      <c r="Q21" s="9">
        <v>7.5284794452699311E-2</v>
      </c>
      <c r="R21" s="13">
        <v>-8.0477586286275549E-2</v>
      </c>
    </row>
    <row r="22" spans="1:18" x14ac:dyDescent="0.2">
      <c r="A22" s="5">
        <v>43597</v>
      </c>
      <c r="B22" s="12">
        <v>115945</v>
      </c>
      <c r="C22" s="12">
        <v>905</v>
      </c>
      <c r="D22" s="12">
        <v>116850</v>
      </c>
      <c r="F22" s="5">
        <v>44328</v>
      </c>
      <c r="G22" s="12">
        <v>122640</v>
      </c>
      <c r="H22" s="12">
        <v>12701</v>
      </c>
      <c r="I22" s="12">
        <v>135341</v>
      </c>
      <c r="K22" s="5">
        <v>43600</v>
      </c>
      <c r="L22" s="5">
        <v>44328</v>
      </c>
      <c r="M22" s="12">
        <v>-283</v>
      </c>
      <c r="N22" s="12">
        <v>621</v>
      </c>
      <c r="O22" s="12">
        <v>338</v>
      </c>
      <c r="P22" s="9">
        <v>-2.3022542567298077E-3</v>
      </c>
      <c r="Q22" s="9">
        <v>5.1407284768211881E-2</v>
      </c>
      <c r="R22" s="13">
        <v>2.5036480670799222E-3</v>
      </c>
    </row>
    <row r="23" spans="1:18" x14ac:dyDescent="0.2">
      <c r="A23" s="5">
        <v>43598</v>
      </c>
      <c r="B23" s="12">
        <v>118322</v>
      </c>
      <c r="C23" s="12">
        <v>11626</v>
      </c>
      <c r="D23" s="12">
        <v>129948</v>
      </c>
      <c r="F23" s="5">
        <v>44329</v>
      </c>
      <c r="G23" s="12">
        <v>94965</v>
      </c>
      <c r="H23" s="12">
        <v>1085</v>
      </c>
      <c r="I23" s="12">
        <v>96050</v>
      </c>
      <c r="K23" s="5">
        <v>43601</v>
      </c>
      <c r="L23" s="5">
        <v>44329</v>
      </c>
      <c r="M23" s="12">
        <v>-29774</v>
      </c>
      <c r="N23" s="12">
        <v>-10755</v>
      </c>
      <c r="O23" s="12">
        <v>-40529</v>
      </c>
      <c r="P23" s="9">
        <v>-0.23869038552497612</v>
      </c>
      <c r="Q23" s="9">
        <v>-0.90836148648648651</v>
      </c>
      <c r="R23" s="13">
        <v>-0.29674400896184627</v>
      </c>
    </row>
    <row r="24" spans="1:18" x14ac:dyDescent="0.2">
      <c r="A24" s="5">
        <v>43599</v>
      </c>
      <c r="B24" s="12">
        <v>118208</v>
      </c>
      <c r="C24" s="12">
        <v>12114</v>
      </c>
      <c r="D24" s="12">
        <v>130322</v>
      </c>
      <c r="F24" s="5">
        <v>44330</v>
      </c>
      <c r="G24" s="12">
        <v>119616</v>
      </c>
      <c r="H24" s="12">
        <v>8971</v>
      </c>
      <c r="I24" s="12">
        <v>128587</v>
      </c>
      <c r="K24" s="5">
        <v>43602</v>
      </c>
      <c r="L24" s="5">
        <v>44330</v>
      </c>
      <c r="M24" s="12">
        <v>-13027</v>
      </c>
      <c r="N24" s="12">
        <v>-2154</v>
      </c>
      <c r="O24" s="12">
        <v>-15181</v>
      </c>
      <c r="P24" s="9">
        <v>-9.8210987387197246E-2</v>
      </c>
      <c r="Q24" s="9">
        <v>-0.19361797752808985</v>
      </c>
      <c r="R24" s="13">
        <v>-0.10559373434978581</v>
      </c>
    </row>
    <row r="25" spans="1:18" x14ac:dyDescent="0.2">
      <c r="A25" s="5">
        <v>43600</v>
      </c>
      <c r="B25" s="12">
        <v>122923</v>
      </c>
      <c r="C25" s="12">
        <v>12080</v>
      </c>
      <c r="D25" s="12">
        <v>135003</v>
      </c>
      <c r="F25" s="5">
        <v>44331</v>
      </c>
      <c r="G25" s="12">
        <v>114407</v>
      </c>
      <c r="H25" s="12">
        <v>2512</v>
      </c>
      <c r="I25" s="12">
        <v>116919</v>
      </c>
      <c r="K25" s="5">
        <v>43603</v>
      </c>
      <c r="L25" s="5">
        <v>44331</v>
      </c>
      <c r="M25" s="12">
        <v>-17950</v>
      </c>
      <c r="N25" s="12">
        <v>-156</v>
      </c>
      <c r="O25" s="12">
        <v>-18106</v>
      </c>
      <c r="P25" s="9">
        <v>-0.13561806326828196</v>
      </c>
      <c r="Q25" s="9">
        <v>-5.8470764617691184E-2</v>
      </c>
      <c r="R25" s="13">
        <v>-0.13409368635437879</v>
      </c>
    </row>
    <row r="26" spans="1:18" x14ac:dyDescent="0.2">
      <c r="A26" s="5">
        <v>43601</v>
      </c>
      <c r="B26" s="12">
        <v>124739</v>
      </c>
      <c r="C26" s="12">
        <v>11840</v>
      </c>
      <c r="D26" s="12">
        <v>136579</v>
      </c>
      <c r="F26" s="5">
        <v>44332</v>
      </c>
      <c r="G26" s="12">
        <v>96721</v>
      </c>
      <c r="H26" s="12">
        <v>893</v>
      </c>
      <c r="I26" s="12">
        <v>97614</v>
      </c>
      <c r="K26" s="5">
        <v>43604</v>
      </c>
      <c r="L26" s="5">
        <v>44332</v>
      </c>
      <c r="M26" s="12">
        <v>-14498</v>
      </c>
      <c r="N26" s="12">
        <v>-89</v>
      </c>
      <c r="O26" s="12">
        <v>-14587</v>
      </c>
      <c r="P26" s="9">
        <v>-0.13035542488243912</v>
      </c>
      <c r="Q26" s="9">
        <v>-9.0631364562118177E-2</v>
      </c>
      <c r="R26" s="13">
        <v>-0.13000775394158692</v>
      </c>
    </row>
    <row r="27" spans="1:18" x14ac:dyDescent="0.2">
      <c r="A27" s="5">
        <v>43602</v>
      </c>
      <c r="B27" s="12">
        <v>132643</v>
      </c>
      <c r="C27" s="12">
        <v>11125</v>
      </c>
      <c r="D27" s="12">
        <v>143768</v>
      </c>
      <c r="F27" s="5">
        <v>44333</v>
      </c>
      <c r="G27" s="12">
        <v>104626</v>
      </c>
      <c r="H27" s="12">
        <v>11820</v>
      </c>
      <c r="I27" s="12">
        <v>116446</v>
      </c>
      <c r="K27" s="5">
        <v>43605</v>
      </c>
      <c r="L27" s="5">
        <v>44333</v>
      </c>
      <c r="M27" s="12">
        <v>-3598</v>
      </c>
      <c r="N27" s="12">
        <v>747</v>
      </c>
      <c r="O27" s="12">
        <v>-2851</v>
      </c>
      <c r="P27" s="9">
        <v>-3.3245860437610908E-2</v>
      </c>
      <c r="Q27" s="9">
        <v>6.7461392576537493E-2</v>
      </c>
      <c r="R27" s="13">
        <v>-2.3898337762056077E-2</v>
      </c>
    </row>
    <row r="28" spans="1:18" x14ac:dyDescent="0.2">
      <c r="A28" s="5">
        <v>43603</v>
      </c>
      <c r="B28" s="12">
        <v>132357</v>
      </c>
      <c r="C28" s="12">
        <v>2668</v>
      </c>
      <c r="D28" s="12">
        <v>135025</v>
      </c>
      <c r="F28" s="5">
        <v>44334</v>
      </c>
      <c r="G28" s="12">
        <v>107124</v>
      </c>
      <c r="H28" s="12">
        <v>12483</v>
      </c>
      <c r="I28" s="12">
        <v>119607</v>
      </c>
      <c r="K28" s="5">
        <v>43606</v>
      </c>
      <c r="L28" s="5">
        <v>44334</v>
      </c>
      <c r="M28" s="12">
        <v>-7159</v>
      </c>
      <c r="N28" s="12">
        <v>555</v>
      </c>
      <c r="O28" s="12">
        <v>-6604</v>
      </c>
      <c r="P28" s="9">
        <v>-6.2642737765021939E-2</v>
      </c>
      <c r="Q28" s="9">
        <v>4.6529175050301852E-2</v>
      </c>
      <c r="R28" s="13">
        <v>-5.2325074676533689E-2</v>
      </c>
    </row>
    <row r="29" spans="1:18" x14ac:dyDescent="0.2">
      <c r="A29" s="5">
        <v>43604</v>
      </c>
      <c r="B29" s="12">
        <v>111219</v>
      </c>
      <c r="C29" s="12">
        <v>982</v>
      </c>
      <c r="D29" s="12">
        <v>112201</v>
      </c>
      <c r="F29" s="5">
        <v>44335</v>
      </c>
      <c r="G29" s="12">
        <v>111072</v>
      </c>
      <c r="H29" s="12">
        <v>12677</v>
      </c>
      <c r="I29" s="12">
        <v>123749</v>
      </c>
      <c r="K29" s="5">
        <v>43607</v>
      </c>
      <c r="L29" s="5">
        <v>44335</v>
      </c>
      <c r="M29" s="12">
        <v>-10723</v>
      </c>
      <c r="N29" s="12">
        <v>641</v>
      </c>
      <c r="O29" s="12">
        <v>-10082</v>
      </c>
      <c r="P29" s="9">
        <v>-8.8041381009072661E-2</v>
      </c>
      <c r="Q29" s="9">
        <v>5.3256895978730512E-2</v>
      </c>
      <c r="R29" s="13">
        <v>-7.5333816529802533E-2</v>
      </c>
    </row>
    <row r="30" spans="1:18" x14ac:dyDescent="0.2">
      <c r="A30" s="5">
        <v>43605</v>
      </c>
      <c r="B30" s="12">
        <v>108224</v>
      </c>
      <c r="C30" s="12">
        <v>11073</v>
      </c>
      <c r="D30" s="12">
        <v>119297</v>
      </c>
      <c r="F30" s="5">
        <v>44336</v>
      </c>
      <c r="G30" s="12">
        <v>113490</v>
      </c>
      <c r="H30" s="12">
        <v>12635</v>
      </c>
      <c r="I30" s="12">
        <v>126125</v>
      </c>
      <c r="K30" s="5">
        <v>43608</v>
      </c>
      <c r="L30" s="5">
        <v>44336</v>
      </c>
      <c r="M30" s="12">
        <v>-10469</v>
      </c>
      <c r="N30" s="12">
        <v>573</v>
      </c>
      <c r="O30" s="12">
        <v>-9896</v>
      </c>
      <c r="P30" s="9">
        <v>-8.4455344105712427E-2</v>
      </c>
      <c r="Q30" s="9">
        <v>4.7504559774498523E-2</v>
      </c>
      <c r="R30" s="13">
        <v>-7.2753471890369847E-2</v>
      </c>
    </row>
    <row r="31" spans="1:18" x14ac:dyDescent="0.2">
      <c r="A31" s="5">
        <v>43606</v>
      </c>
      <c r="B31" s="12">
        <v>114283</v>
      </c>
      <c r="C31" s="12">
        <v>11928</v>
      </c>
      <c r="D31" s="12">
        <v>126211</v>
      </c>
      <c r="F31" s="5">
        <v>44337</v>
      </c>
      <c r="G31" s="12">
        <v>120668</v>
      </c>
      <c r="H31" s="12">
        <v>11925</v>
      </c>
      <c r="I31" s="12">
        <v>132593</v>
      </c>
      <c r="K31" s="5">
        <v>43609</v>
      </c>
      <c r="L31" s="5">
        <v>44337</v>
      </c>
      <c r="M31" s="12">
        <v>-12047</v>
      </c>
      <c r="N31" s="12">
        <v>832</v>
      </c>
      <c r="O31" s="12">
        <v>-11215</v>
      </c>
      <c r="P31" s="9">
        <v>-9.0773461929698929E-2</v>
      </c>
      <c r="Q31" s="9">
        <v>7.5002253673487784E-2</v>
      </c>
      <c r="R31" s="13">
        <v>-7.7985925678682677E-2</v>
      </c>
    </row>
    <row r="32" spans="1:18" x14ac:dyDescent="0.2">
      <c r="A32" s="5">
        <v>43607</v>
      </c>
      <c r="B32" s="12">
        <v>121795</v>
      </c>
      <c r="C32" s="12">
        <v>12036</v>
      </c>
      <c r="D32" s="12">
        <v>133831</v>
      </c>
      <c r="F32" s="5">
        <v>44338</v>
      </c>
      <c r="G32" s="12">
        <v>124370</v>
      </c>
      <c r="H32" s="12">
        <v>2851</v>
      </c>
      <c r="I32" s="12">
        <v>127221</v>
      </c>
      <c r="K32" s="5">
        <v>43610</v>
      </c>
      <c r="L32" s="5">
        <v>44338</v>
      </c>
      <c r="M32" s="12">
        <v>-11341</v>
      </c>
      <c r="N32" s="12">
        <v>-70</v>
      </c>
      <c r="O32" s="12">
        <v>-11411</v>
      </c>
      <c r="P32" s="9">
        <v>-8.35672863658804E-2</v>
      </c>
      <c r="Q32" s="9">
        <v>-2.396439575487852E-2</v>
      </c>
      <c r="R32" s="13">
        <v>-8.2311443245426719E-2</v>
      </c>
    </row>
    <row r="33" spans="1:18" x14ac:dyDescent="0.2">
      <c r="A33" s="5">
        <v>43608</v>
      </c>
      <c r="B33" s="12">
        <v>123959</v>
      </c>
      <c r="C33" s="12">
        <v>12062</v>
      </c>
      <c r="D33" s="12">
        <v>136021</v>
      </c>
      <c r="F33" s="5">
        <v>44339</v>
      </c>
      <c r="G33" s="12">
        <v>99635</v>
      </c>
      <c r="H33" s="12">
        <v>428</v>
      </c>
      <c r="I33" s="12">
        <v>100063</v>
      </c>
      <c r="K33" s="5">
        <v>43611</v>
      </c>
      <c r="L33" s="5">
        <v>44339</v>
      </c>
      <c r="M33" s="12">
        <v>-14865</v>
      </c>
      <c r="N33" s="12">
        <v>-592</v>
      </c>
      <c r="O33" s="12">
        <v>-15457</v>
      </c>
      <c r="P33" s="9">
        <v>-0.12982532751091702</v>
      </c>
      <c r="Q33" s="9">
        <v>-0.58039215686274503</v>
      </c>
      <c r="R33" s="13">
        <v>-0.13380367036011076</v>
      </c>
    </row>
    <row r="34" spans="1:18" x14ac:dyDescent="0.2">
      <c r="A34" s="5">
        <v>43609</v>
      </c>
      <c r="B34" s="12">
        <v>132715</v>
      </c>
      <c r="C34" s="12">
        <v>11093</v>
      </c>
      <c r="D34" s="12">
        <v>143808</v>
      </c>
      <c r="F34" s="5">
        <v>44340</v>
      </c>
      <c r="G34" s="12">
        <v>95289</v>
      </c>
      <c r="H34" s="12">
        <v>1224</v>
      </c>
      <c r="I34" s="12">
        <v>96513</v>
      </c>
      <c r="K34" s="5">
        <v>43612</v>
      </c>
      <c r="L34" s="5">
        <v>44340</v>
      </c>
      <c r="M34" s="12">
        <v>-22972</v>
      </c>
      <c r="N34" s="12">
        <v>-10540</v>
      </c>
      <c r="O34" s="12">
        <v>-33512</v>
      </c>
      <c r="P34" s="9">
        <v>-0.19424831516729946</v>
      </c>
      <c r="Q34" s="9">
        <v>-0.89595375722543347</v>
      </c>
      <c r="R34" s="13">
        <v>-0.2577350509517401</v>
      </c>
    </row>
    <row r="35" spans="1:18" x14ac:dyDescent="0.2">
      <c r="A35" s="5">
        <v>43610</v>
      </c>
      <c r="B35" s="12">
        <v>135711</v>
      </c>
      <c r="C35" s="12">
        <v>2921</v>
      </c>
      <c r="D35" s="12">
        <v>138632</v>
      </c>
      <c r="F35" s="5">
        <v>44341</v>
      </c>
      <c r="G35" s="12">
        <v>112894</v>
      </c>
      <c r="H35" s="12">
        <v>12675</v>
      </c>
      <c r="I35" s="12">
        <v>125569</v>
      </c>
      <c r="K35" s="5">
        <v>43613</v>
      </c>
      <c r="L35" s="5">
        <v>44341</v>
      </c>
      <c r="M35" s="12">
        <v>-8591</v>
      </c>
      <c r="N35" s="12">
        <v>-318</v>
      </c>
      <c r="O35" s="12">
        <v>-8909</v>
      </c>
      <c r="P35" s="9">
        <v>-7.0716549368234793E-2</v>
      </c>
      <c r="Q35" s="9">
        <v>-2.4474717155391401E-2</v>
      </c>
      <c r="R35" s="13">
        <v>-6.6248754443105962E-2</v>
      </c>
    </row>
    <row r="36" spans="1:18" x14ac:dyDescent="0.2">
      <c r="A36" s="5">
        <v>43611</v>
      </c>
      <c r="B36" s="12">
        <v>114500</v>
      </c>
      <c r="C36" s="12">
        <v>1020</v>
      </c>
      <c r="D36" s="12">
        <v>115520</v>
      </c>
      <c r="F36" s="5">
        <v>44342</v>
      </c>
      <c r="G36" s="12">
        <v>112880</v>
      </c>
      <c r="H36" s="12">
        <v>12985</v>
      </c>
      <c r="I36" s="12">
        <v>125865</v>
      </c>
      <c r="K36" s="5">
        <v>43614</v>
      </c>
      <c r="L36" s="5">
        <v>44342</v>
      </c>
      <c r="M36" s="12">
        <v>-17664</v>
      </c>
      <c r="N36" s="12">
        <v>709</v>
      </c>
      <c r="O36" s="12">
        <v>-16955</v>
      </c>
      <c r="P36" s="9">
        <v>-0.13531069984066679</v>
      </c>
      <c r="Q36" s="9">
        <v>5.7754969045291649E-2</v>
      </c>
      <c r="R36" s="13">
        <v>-0.11871586612519258</v>
      </c>
    </row>
    <row r="37" spans="1:18" x14ac:dyDescent="0.2">
      <c r="A37" s="5">
        <v>43612</v>
      </c>
      <c r="B37" s="12">
        <v>118261</v>
      </c>
      <c r="C37" s="12">
        <v>11764</v>
      </c>
      <c r="D37" s="12">
        <v>130025</v>
      </c>
      <c r="F37" s="5">
        <v>44343</v>
      </c>
      <c r="G37" s="12">
        <v>113437</v>
      </c>
      <c r="H37" s="12">
        <v>12754</v>
      </c>
      <c r="I37" s="12">
        <v>126191</v>
      </c>
      <c r="K37" s="5">
        <v>43615</v>
      </c>
      <c r="L37" s="5">
        <v>44343</v>
      </c>
      <c r="M37" s="12">
        <v>4516</v>
      </c>
      <c r="N37" s="12">
        <v>11372</v>
      </c>
      <c r="O37" s="12">
        <v>15888</v>
      </c>
      <c r="P37" s="9">
        <v>4.1461242551941391E-2</v>
      </c>
      <c r="Q37" s="9">
        <v>8.228654124457309</v>
      </c>
      <c r="R37" s="13">
        <v>0.14403960001087923</v>
      </c>
    </row>
    <row r="38" spans="1:18" x14ac:dyDescent="0.2">
      <c r="A38" s="5">
        <v>43613</v>
      </c>
      <c r="B38" s="12">
        <v>121485</v>
      </c>
      <c r="C38" s="12">
        <v>12993</v>
      </c>
      <c r="D38" s="12">
        <v>134478</v>
      </c>
      <c r="F38" s="5">
        <v>44344</v>
      </c>
      <c r="G38" s="12">
        <v>124898</v>
      </c>
      <c r="H38" s="12">
        <v>11784</v>
      </c>
      <c r="I38" s="12">
        <v>136682</v>
      </c>
      <c r="K38" s="5">
        <v>43616</v>
      </c>
      <c r="L38" s="5">
        <v>44344</v>
      </c>
      <c r="M38" s="12">
        <v>2319</v>
      </c>
      <c r="N38" s="12">
        <v>2814</v>
      </c>
      <c r="O38" s="12">
        <v>5133</v>
      </c>
      <c r="P38" s="9">
        <v>1.8918411799737411E-2</v>
      </c>
      <c r="Q38" s="9">
        <v>0.3137123745819399</v>
      </c>
      <c r="R38" s="13">
        <v>3.9019680879368135E-2</v>
      </c>
    </row>
    <row r="39" spans="1:18" x14ac:dyDescent="0.2">
      <c r="A39" s="5">
        <v>43614</v>
      </c>
      <c r="B39" s="12">
        <v>130544</v>
      </c>
      <c r="C39" s="12">
        <v>12276</v>
      </c>
      <c r="D39" s="12">
        <v>142820</v>
      </c>
      <c r="F39" s="5">
        <v>44345</v>
      </c>
      <c r="G39" s="12">
        <v>124882</v>
      </c>
      <c r="H39" s="12">
        <v>2724</v>
      </c>
      <c r="I39" s="12">
        <v>127606</v>
      </c>
      <c r="K39" s="5">
        <v>43617</v>
      </c>
      <c r="L39" s="5">
        <v>44345</v>
      </c>
      <c r="M39" s="12">
        <v>3576</v>
      </c>
      <c r="N39" s="12">
        <v>22</v>
      </c>
      <c r="O39" s="12">
        <v>3598</v>
      </c>
      <c r="P39" s="9">
        <v>2.9479168384086485E-2</v>
      </c>
      <c r="Q39" s="9">
        <v>8.1421169504070079E-3</v>
      </c>
      <c r="R39" s="13">
        <v>2.9014257144700295E-2</v>
      </c>
    </row>
    <row r="40" spans="1:18" x14ac:dyDescent="0.2">
      <c r="A40" s="5">
        <v>43615</v>
      </c>
      <c r="B40" s="12">
        <v>108921</v>
      </c>
      <c r="C40" s="12">
        <v>1382</v>
      </c>
      <c r="D40" s="12">
        <v>110303</v>
      </c>
      <c r="F40" s="5">
        <v>44346</v>
      </c>
      <c r="G40" s="12">
        <v>106436</v>
      </c>
      <c r="H40" s="12">
        <v>893</v>
      </c>
      <c r="I40" s="12">
        <v>107329</v>
      </c>
      <c r="K40" s="5">
        <v>43618</v>
      </c>
      <c r="L40" s="5">
        <v>44346</v>
      </c>
      <c r="M40" s="12">
        <v>-13064</v>
      </c>
      <c r="N40" s="12">
        <v>-358</v>
      </c>
      <c r="O40" s="12">
        <v>-13422</v>
      </c>
      <c r="P40" s="9">
        <v>-0.10932217573221759</v>
      </c>
      <c r="Q40" s="9">
        <v>-0.28617106314948038</v>
      </c>
      <c r="R40" s="13">
        <v>-0.11115435897011205</v>
      </c>
    </row>
    <row r="41" spans="1:18" x14ac:dyDescent="0.2">
      <c r="A41" s="5">
        <v>43616</v>
      </c>
      <c r="B41" s="12">
        <v>122579</v>
      </c>
      <c r="C41" s="12">
        <v>8970</v>
      </c>
      <c r="D41" s="12">
        <v>131549</v>
      </c>
      <c r="F41" s="5">
        <v>44347</v>
      </c>
      <c r="G41" s="12">
        <v>110835</v>
      </c>
      <c r="H41" s="12">
        <v>11931</v>
      </c>
      <c r="I41" s="12">
        <v>122766</v>
      </c>
      <c r="K41" s="5">
        <v>43619</v>
      </c>
      <c r="L41" s="5">
        <v>44347</v>
      </c>
      <c r="M41" s="12">
        <f t="shared" ref="M41:O41" si="0">G41-B44</f>
        <v>-7654</v>
      </c>
      <c r="N41" s="12">
        <f t="shared" si="0"/>
        <v>242</v>
      </c>
      <c r="O41" s="12">
        <f t="shared" si="0"/>
        <v>-7412</v>
      </c>
      <c r="P41" s="9">
        <f t="shared" ref="P41:R41" si="1">G41/B44-1</f>
        <v>-6.4596713618985779E-2</v>
      </c>
      <c r="Q41" s="9">
        <f t="shared" si="1"/>
        <v>2.0703225254512736E-2</v>
      </c>
      <c r="R41" s="13">
        <f t="shared" si="1"/>
        <v>-5.6937424142328164E-2</v>
      </c>
    </row>
    <row r="42" spans="1:18" x14ac:dyDescent="0.2">
      <c r="A42" s="5">
        <v>43617</v>
      </c>
      <c r="B42" s="12">
        <v>121306</v>
      </c>
      <c r="C42" s="12">
        <v>2702</v>
      </c>
      <c r="D42" s="12">
        <v>124008</v>
      </c>
      <c r="F42" s="5"/>
      <c r="G42" s="12"/>
      <c r="H42" s="12"/>
      <c r="I42" s="12"/>
      <c r="L42" s="5"/>
      <c r="M42" s="12"/>
      <c r="N42" s="12"/>
      <c r="O42" s="12"/>
      <c r="P42" s="9"/>
      <c r="Q42" s="9"/>
      <c r="R42" s="13"/>
    </row>
    <row r="43" spans="1:18" x14ac:dyDescent="0.2">
      <c r="A43" s="5">
        <v>43618</v>
      </c>
      <c r="B43" s="12">
        <v>119500</v>
      </c>
      <c r="C43" s="12">
        <v>1251</v>
      </c>
      <c r="D43" s="12">
        <v>120751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5">
        <v>43619</v>
      </c>
      <c r="B44" s="12">
        <v>118489</v>
      </c>
      <c r="C44" s="12">
        <v>11689</v>
      </c>
      <c r="D44" s="12">
        <v>130178</v>
      </c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">
      <c r="A45" s="5"/>
      <c r="B45" s="12"/>
      <c r="C45" s="12"/>
      <c r="D45" s="12"/>
      <c r="F45" s="5"/>
      <c r="G45" s="12"/>
      <c r="H45" s="12"/>
      <c r="I45" s="12"/>
      <c r="K45" s="5"/>
      <c r="L45" s="5"/>
      <c r="M45" s="12"/>
      <c r="N45" s="12"/>
      <c r="O45" s="12"/>
      <c r="P45" s="9"/>
      <c r="Q45" s="9"/>
      <c r="R45" s="13"/>
    </row>
    <row r="46" spans="1:18" x14ac:dyDescent="0.2">
      <c r="A46" s="1"/>
      <c r="B46" s="2"/>
      <c r="C46" s="2"/>
      <c r="D46" s="2"/>
      <c r="F46" s="1"/>
      <c r="G46" s="2"/>
      <c r="H46" s="2"/>
      <c r="I46" s="2"/>
    </row>
    <row r="47" spans="1:18" ht="12.95" customHeight="1" x14ac:dyDescent="0.2">
      <c r="A47" s="26" t="s">
        <v>30</v>
      </c>
      <c r="B47" s="6"/>
      <c r="C47" s="6"/>
      <c r="D47" s="3"/>
      <c r="F47" s="26" t="s">
        <v>30</v>
      </c>
      <c r="G47" s="6"/>
      <c r="H47" s="6"/>
      <c r="I47" s="3"/>
      <c r="K47" s="26" t="s">
        <v>31</v>
      </c>
      <c r="L47" s="26"/>
      <c r="M47" s="6"/>
      <c r="N47" s="6"/>
      <c r="O47" s="3"/>
      <c r="P47" s="6"/>
      <c r="Q47" s="6"/>
      <c r="R47" s="3"/>
    </row>
    <row r="48" spans="1:18" ht="24" customHeight="1" x14ac:dyDescent="0.2">
      <c r="A48" s="27"/>
      <c r="B48" s="8" t="s">
        <v>38</v>
      </c>
      <c r="C48" s="4" t="s">
        <v>2</v>
      </c>
      <c r="D48" s="4" t="s">
        <v>0</v>
      </c>
      <c r="F48" s="27"/>
      <c r="G48" s="8" t="s">
        <v>38</v>
      </c>
      <c r="H48" s="4" t="s">
        <v>2</v>
      </c>
      <c r="I48" s="4" t="s">
        <v>0</v>
      </c>
      <c r="K48" s="27"/>
      <c r="L48" s="27"/>
      <c r="M48" s="8" t="s">
        <v>38</v>
      </c>
      <c r="N48" s="4" t="s">
        <v>2</v>
      </c>
      <c r="O48" s="4" t="s">
        <v>0</v>
      </c>
      <c r="P48" s="8" t="s">
        <v>38</v>
      </c>
      <c r="Q48" s="4" t="s">
        <v>2</v>
      </c>
      <c r="R48" s="4" t="s">
        <v>0</v>
      </c>
    </row>
    <row r="49" spans="1:18" x14ac:dyDescent="0.2">
      <c r="A49" s="5">
        <v>43586</v>
      </c>
      <c r="B49" s="12">
        <v>53674</v>
      </c>
      <c r="C49" s="12">
        <v>2573</v>
      </c>
      <c r="D49" s="12">
        <v>56247</v>
      </c>
      <c r="F49" s="5">
        <v>44317</v>
      </c>
      <c r="G49" s="12">
        <v>55379</v>
      </c>
      <c r="H49" s="12">
        <v>880</v>
      </c>
      <c r="I49" s="12">
        <v>56259</v>
      </c>
      <c r="K49" s="5">
        <v>43589</v>
      </c>
      <c r="L49" s="5">
        <v>44317</v>
      </c>
      <c r="M49" s="12">
        <v>-11289</v>
      </c>
      <c r="N49" s="12">
        <v>-456</v>
      </c>
      <c r="O49" s="12">
        <v>-11745</v>
      </c>
      <c r="P49" s="9">
        <v>-0.16933161336773261</v>
      </c>
      <c r="Q49" s="9">
        <v>-0.3413173652694611</v>
      </c>
      <c r="R49" s="13">
        <v>-0.172710428798306</v>
      </c>
    </row>
    <row r="50" spans="1:18" x14ac:dyDescent="0.2">
      <c r="A50" s="5">
        <v>43587</v>
      </c>
      <c r="B50" s="12">
        <v>61030</v>
      </c>
      <c r="C50" s="12">
        <v>6013</v>
      </c>
      <c r="D50" s="12">
        <v>67043</v>
      </c>
      <c r="F50" s="5">
        <v>44318</v>
      </c>
      <c r="G50" s="12">
        <v>43698</v>
      </c>
      <c r="H50" s="12">
        <v>392</v>
      </c>
      <c r="I50" s="12">
        <v>44090</v>
      </c>
      <c r="K50" s="5">
        <v>43590</v>
      </c>
      <c r="L50" s="5">
        <v>44318</v>
      </c>
      <c r="M50" s="12">
        <v>-11856</v>
      </c>
      <c r="N50" s="12">
        <v>-196</v>
      </c>
      <c r="O50" s="12">
        <v>-12052</v>
      </c>
      <c r="P50" s="9">
        <v>-0.21341397559131658</v>
      </c>
      <c r="Q50" s="9">
        <v>-0.33333333333333337</v>
      </c>
      <c r="R50" s="13">
        <v>-0.21466994407039297</v>
      </c>
    </row>
    <row r="51" spans="1:18" x14ac:dyDescent="0.2">
      <c r="A51" s="5">
        <v>43588</v>
      </c>
      <c r="B51" s="12">
        <v>65839</v>
      </c>
      <c r="C51" s="12">
        <v>5746</v>
      </c>
      <c r="D51" s="12">
        <v>71585</v>
      </c>
      <c r="F51" s="5">
        <v>44319</v>
      </c>
      <c r="G51" s="12">
        <v>53835</v>
      </c>
      <c r="H51" s="12">
        <v>5663</v>
      </c>
      <c r="I51" s="12">
        <v>59498</v>
      </c>
      <c r="K51" s="5">
        <v>43591</v>
      </c>
      <c r="L51" s="5">
        <v>44319</v>
      </c>
      <c r="M51" s="12">
        <v>-4867</v>
      </c>
      <c r="N51" s="12">
        <v>-33</v>
      </c>
      <c r="O51" s="12">
        <v>-4900</v>
      </c>
      <c r="P51" s="9">
        <v>-8.2910292664645113E-2</v>
      </c>
      <c r="Q51" s="9">
        <v>-5.7935393258427004E-3</v>
      </c>
      <c r="R51" s="13">
        <v>-7.6089319544085265E-2</v>
      </c>
    </row>
    <row r="52" spans="1:18" x14ac:dyDescent="0.2">
      <c r="A52" s="5">
        <v>43589</v>
      </c>
      <c r="B52" s="12">
        <v>66668</v>
      </c>
      <c r="C52" s="12">
        <v>1336</v>
      </c>
      <c r="D52" s="12">
        <v>68004</v>
      </c>
      <c r="F52" s="5">
        <v>44320</v>
      </c>
      <c r="G52" s="12">
        <v>54312</v>
      </c>
      <c r="H52" s="12">
        <v>6198</v>
      </c>
      <c r="I52" s="12">
        <v>60510</v>
      </c>
      <c r="K52" s="5">
        <v>43592</v>
      </c>
      <c r="L52" s="5">
        <v>44320</v>
      </c>
      <c r="M52" s="12">
        <v>-4203</v>
      </c>
      <c r="N52" s="12">
        <v>130</v>
      </c>
      <c r="O52" s="12">
        <v>-4073</v>
      </c>
      <c r="P52" s="9">
        <v>-7.1827736477826143E-2</v>
      </c>
      <c r="Q52" s="9">
        <v>2.14238628872776E-2</v>
      </c>
      <c r="R52" s="13">
        <v>-6.3066131954229387E-2</v>
      </c>
    </row>
    <row r="53" spans="1:18" x14ac:dyDescent="0.2">
      <c r="A53" s="5">
        <v>43590</v>
      </c>
      <c r="B53" s="12">
        <v>55554</v>
      </c>
      <c r="C53" s="12">
        <v>588</v>
      </c>
      <c r="D53" s="12">
        <v>56142</v>
      </c>
      <c r="F53" s="5">
        <v>44321</v>
      </c>
      <c r="G53" s="12">
        <v>55940</v>
      </c>
      <c r="H53" s="12">
        <v>6321</v>
      </c>
      <c r="I53" s="12">
        <v>62261</v>
      </c>
      <c r="K53" s="5">
        <v>43593</v>
      </c>
      <c r="L53" s="5">
        <v>44321</v>
      </c>
      <c r="M53" s="12">
        <v>-4171</v>
      </c>
      <c r="N53" s="12">
        <v>363</v>
      </c>
      <c r="O53" s="12">
        <v>-3808</v>
      </c>
      <c r="P53" s="9">
        <v>-6.9388298314784325E-2</v>
      </c>
      <c r="Q53" s="9">
        <v>6.0926485397784447E-2</v>
      </c>
      <c r="R53" s="13">
        <v>-5.7636713133239481E-2</v>
      </c>
    </row>
    <row r="54" spans="1:18" x14ac:dyDescent="0.2">
      <c r="A54" s="5">
        <v>43591</v>
      </c>
      <c r="B54" s="12">
        <v>58702</v>
      </c>
      <c r="C54" s="12">
        <v>5696</v>
      </c>
      <c r="D54" s="12">
        <v>64398</v>
      </c>
      <c r="F54" s="5">
        <v>44322</v>
      </c>
      <c r="G54" s="12">
        <v>56333</v>
      </c>
      <c r="H54" s="12">
        <v>6399</v>
      </c>
      <c r="I54" s="12">
        <v>62732</v>
      </c>
      <c r="K54" s="5">
        <v>43594</v>
      </c>
      <c r="L54" s="5">
        <v>44322</v>
      </c>
      <c r="M54" s="12">
        <v>-6305</v>
      </c>
      <c r="N54" s="12">
        <v>326</v>
      </c>
      <c r="O54" s="12">
        <v>-5979</v>
      </c>
      <c r="P54" s="9">
        <v>-0.10065774769309366</v>
      </c>
      <c r="Q54" s="9">
        <v>5.3680223942038641E-2</v>
      </c>
      <c r="R54" s="13">
        <v>-8.7016634891065481E-2</v>
      </c>
    </row>
    <row r="55" spans="1:18" x14ac:dyDescent="0.2">
      <c r="A55" s="5">
        <v>43592</v>
      </c>
      <c r="B55" s="12">
        <v>58515</v>
      </c>
      <c r="C55" s="12">
        <v>6068</v>
      </c>
      <c r="D55" s="12">
        <v>64583</v>
      </c>
      <c r="F55" s="5">
        <v>44323</v>
      </c>
      <c r="G55" s="12">
        <v>62065</v>
      </c>
      <c r="H55" s="12">
        <v>5931</v>
      </c>
      <c r="I55" s="12">
        <v>67996</v>
      </c>
      <c r="K55" s="5">
        <v>43595</v>
      </c>
      <c r="L55" s="5">
        <v>44323</v>
      </c>
      <c r="M55" s="12">
        <v>-5977</v>
      </c>
      <c r="N55" s="12">
        <v>311</v>
      </c>
      <c r="O55" s="12">
        <v>-5666</v>
      </c>
      <c r="P55" s="9">
        <v>-8.7842802974633316E-2</v>
      </c>
      <c r="Q55" s="9">
        <v>5.5338078291814918E-2</v>
      </c>
      <c r="R55" s="13">
        <v>-7.6918899839808819E-2</v>
      </c>
    </row>
    <row r="56" spans="1:18" x14ac:dyDescent="0.2">
      <c r="A56" s="5">
        <v>43593</v>
      </c>
      <c r="B56" s="12">
        <v>60111</v>
      </c>
      <c r="C56" s="12">
        <v>5958</v>
      </c>
      <c r="D56" s="12">
        <v>66069</v>
      </c>
      <c r="F56" s="5">
        <v>44324</v>
      </c>
      <c r="G56" s="12">
        <v>62802</v>
      </c>
      <c r="H56" s="12">
        <v>1313</v>
      </c>
      <c r="I56" s="12">
        <v>64115</v>
      </c>
      <c r="K56" s="5">
        <v>43596</v>
      </c>
      <c r="L56" s="5">
        <v>44324</v>
      </c>
      <c r="M56" s="12">
        <v>-3100</v>
      </c>
      <c r="N56" s="12">
        <v>-98</v>
      </c>
      <c r="O56" s="12">
        <v>-3198</v>
      </c>
      <c r="P56" s="9">
        <v>-4.7039543564686981E-2</v>
      </c>
      <c r="Q56" s="9">
        <v>-6.9454287739192044E-2</v>
      </c>
      <c r="R56" s="13">
        <v>-4.7509396401883786E-2</v>
      </c>
    </row>
    <row r="57" spans="1:18" x14ac:dyDescent="0.2">
      <c r="A57" s="5">
        <v>43594</v>
      </c>
      <c r="B57" s="12">
        <v>62638</v>
      </c>
      <c r="C57" s="12">
        <v>6073</v>
      </c>
      <c r="D57" s="12">
        <v>68711</v>
      </c>
      <c r="F57" s="5">
        <v>44325</v>
      </c>
      <c r="G57" s="12">
        <v>54951</v>
      </c>
      <c r="H57" s="12">
        <v>372</v>
      </c>
      <c r="I57" s="12">
        <v>55323</v>
      </c>
      <c r="K57" s="5">
        <v>43597</v>
      </c>
      <c r="L57" s="5">
        <v>44325</v>
      </c>
      <c r="M57" s="12">
        <v>-2041</v>
      </c>
      <c r="N57" s="12">
        <v>-102</v>
      </c>
      <c r="O57" s="12">
        <v>-2143</v>
      </c>
      <c r="P57" s="9">
        <v>-3.5812043795620419E-2</v>
      </c>
      <c r="Q57" s="9">
        <v>-0.21518987341772156</v>
      </c>
      <c r="R57" s="13">
        <v>-3.7291615912017573E-2</v>
      </c>
    </row>
    <row r="58" spans="1:18" x14ac:dyDescent="0.2">
      <c r="A58" s="5">
        <v>43595</v>
      </c>
      <c r="B58" s="12">
        <v>68042</v>
      </c>
      <c r="C58" s="12">
        <v>5620</v>
      </c>
      <c r="D58" s="12">
        <v>73662</v>
      </c>
      <c r="F58" s="5">
        <v>44326</v>
      </c>
      <c r="G58" s="12">
        <v>53793</v>
      </c>
      <c r="H58" s="12">
        <v>6039</v>
      </c>
      <c r="I58" s="12">
        <v>59832</v>
      </c>
      <c r="K58" s="5">
        <v>43598</v>
      </c>
      <c r="L58" s="5">
        <v>44326</v>
      </c>
      <c r="M58" s="12">
        <v>-5432</v>
      </c>
      <c r="N58" s="12">
        <v>254</v>
      </c>
      <c r="O58" s="12">
        <v>-5178</v>
      </c>
      <c r="P58" s="9">
        <v>-9.1718024482904226E-2</v>
      </c>
      <c r="Q58" s="9">
        <v>4.3906655142610163E-2</v>
      </c>
      <c r="R58" s="13">
        <v>-7.9649284725426872E-2</v>
      </c>
    </row>
    <row r="59" spans="1:18" x14ac:dyDescent="0.2">
      <c r="A59" s="5">
        <v>43596</v>
      </c>
      <c r="B59" s="12">
        <v>65902</v>
      </c>
      <c r="C59" s="12">
        <v>1411</v>
      </c>
      <c r="D59" s="12">
        <v>67313</v>
      </c>
      <c r="F59" s="5">
        <v>44327</v>
      </c>
      <c r="G59" s="12">
        <v>54223</v>
      </c>
      <c r="H59" s="12">
        <v>6497</v>
      </c>
      <c r="I59" s="12">
        <v>60720</v>
      </c>
      <c r="K59" s="5">
        <v>43599</v>
      </c>
      <c r="L59" s="5">
        <v>44327</v>
      </c>
      <c r="M59" s="12">
        <v>-6126</v>
      </c>
      <c r="N59" s="12">
        <v>341</v>
      </c>
      <c r="O59" s="12">
        <v>-5785</v>
      </c>
      <c r="P59" s="9">
        <v>-0.10150955276806573</v>
      </c>
      <c r="Q59" s="9">
        <v>5.5393112410656364E-2</v>
      </c>
      <c r="R59" s="13">
        <v>-8.6985940906698755E-2</v>
      </c>
    </row>
    <row r="60" spans="1:18" x14ac:dyDescent="0.2">
      <c r="A60" s="5">
        <v>43597</v>
      </c>
      <c r="B60" s="12">
        <v>56992</v>
      </c>
      <c r="C60" s="12">
        <v>474</v>
      </c>
      <c r="D60" s="12">
        <v>57466</v>
      </c>
      <c r="F60" s="5">
        <v>44328</v>
      </c>
      <c r="G60" s="12">
        <v>62640</v>
      </c>
      <c r="H60" s="12">
        <v>6543</v>
      </c>
      <c r="I60" s="12">
        <v>69183</v>
      </c>
      <c r="K60" s="5">
        <v>43600</v>
      </c>
      <c r="L60" s="5">
        <v>44328</v>
      </c>
      <c r="M60" s="12">
        <v>531</v>
      </c>
      <c r="N60" s="12">
        <v>477</v>
      </c>
      <c r="O60" s="12">
        <v>1008</v>
      </c>
      <c r="P60" s="9">
        <v>8.5494855817997983E-3</v>
      </c>
      <c r="Q60" s="9">
        <v>7.8635014836795358E-2</v>
      </c>
      <c r="R60" s="13">
        <v>1.4785478547854725E-2</v>
      </c>
    </row>
    <row r="61" spans="1:18" x14ac:dyDescent="0.2">
      <c r="A61" s="5">
        <v>43598</v>
      </c>
      <c r="B61" s="12">
        <v>59225</v>
      </c>
      <c r="C61" s="12">
        <v>5785</v>
      </c>
      <c r="D61" s="12">
        <v>65010</v>
      </c>
      <c r="F61" s="5">
        <v>44329</v>
      </c>
      <c r="G61" s="12">
        <v>48215</v>
      </c>
      <c r="H61" s="12">
        <v>586</v>
      </c>
      <c r="I61" s="12">
        <v>48801</v>
      </c>
      <c r="K61" s="5">
        <v>43601</v>
      </c>
      <c r="L61" s="5">
        <v>44329</v>
      </c>
      <c r="M61" s="12">
        <v>-14681</v>
      </c>
      <c r="N61" s="12">
        <v>-5343</v>
      </c>
      <c r="O61" s="12">
        <v>-20024</v>
      </c>
      <c r="P61" s="9">
        <v>-0.23341706944797758</v>
      </c>
      <c r="Q61" s="9">
        <v>-0.90116377129364145</v>
      </c>
      <c r="R61" s="13">
        <v>-0.2909407918634217</v>
      </c>
    </row>
    <row r="62" spans="1:18" x14ac:dyDescent="0.2">
      <c r="A62" s="5">
        <v>43599</v>
      </c>
      <c r="B62" s="12">
        <v>60349</v>
      </c>
      <c r="C62" s="12">
        <v>6156</v>
      </c>
      <c r="D62" s="12">
        <v>66505</v>
      </c>
      <c r="F62" s="5">
        <v>44330</v>
      </c>
      <c r="G62" s="12">
        <v>60295</v>
      </c>
      <c r="H62" s="12">
        <v>4594</v>
      </c>
      <c r="I62" s="12">
        <v>64889</v>
      </c>
      <c r="K62" s="5">
        <v>43602</v>
      </c>
      <c r="L62" s="5">
        <v>44330</v>
      </c>
      <c r="M62" s="12">
        <v>-6964</v>
      </c>
      <c r="N62" s="12">
        <v>-1077</v>
      </c>
      <c r="O62" s="12">
        <v>-8041</v>
      </c>
      <c r="P62" s="9">
        <v>-0.103540046685202</v>
      </c>
      <c r="Q62" s="9">
        <v>-0.189913595485805</v>
      </c>
      <c r="R62" s="13">
        <v>-0.11025641025641031</v>
      </c>
    </row>
    <row r="63" spans="1:18" x14ac:dyDescent="0.2">
      <c r="A63" s="5">
        <v>43600</v>
      </c>
      <c r="B63" s="12">
        <v>62109</v>
      </c>
      <c r="C63" s="12">
        <v>6066</v>
      </c>
      <c r="D63" s="12">
        <v>68175</v>
      </c>
      <c r="F63" s="5">
        <v>44331</v>
      </c>
      <c r="G63" s="12">
        <v>57021</v>
      </c>
      <c r="H63" s="12">
        <v>1297</v>
      </c>
      <c r="I63" s="12">
        <v>58318</v>
      </c>
      <c r="K63" s="5">
        <v>43603</v>
      </c>
      <c r="L63" s="5">
        <v>44331</v>
      </c>
      <c r="M63" s="12">
        <v>-9631</v>
      </c>
      <c r="N63" s="12">
        <v>-120</v>
      </c>
      <c r="O63" s="12">
        <v>-9751</v>
      </c>
      <c r="P63" s="9">
        <v>-0.14449678929364462</v>
      </c>
      <c r="Q63" s="9">
        <v>-8.4685956245589278E-2</v>
      </c>
      <c r="R63" s="13">
        <v>-0.14325170048039493</v>
      </c>
    </row>
    <row r="64" spans="1:18" x14ac:dyDescent="0.2">
      <c r="A64" s="5">
        <v>43601</v>
      </c>
      <c r="B64" s="12">
        <v>62896</v>
      </c>
      <c r="C64" s="12">
        <v>5929</v>
      </c>
      <c r="D64" s="12">
        <v>68825</v>
      </c>
      <c r="F64" s="5">
        <v>44332</v>
      </c>
      <c r="G64" s="12">
        <v>47415</v>
      </c>
      <c r="H64" s="12">
        <v>480</v>
      </c>
      <c r="I64" s="12">
        <v>47895</v>
      </c>
      <c r="K64" s="5">
        <v>43604</v>
      </c>
      <c r="L64" s="5">
        <v>44332</v>
      </c>
      <c r="M64" s="12">
        <v>-7741</v>
      </c>
      <c r="N64" s="12">
        <v>-47</v>
      </c>
      <c r="O64" s="12">
        <v>-7788</v>
      </c>
      <c r="P64" s="9">
        <v>-0.14034737834505762</v>
      </c>
      <c r="Q64" s="9">
        <v>-8.9184060721062663E-2</v>
      </c>
      <c r="R64" s="13">
        <v>-0.13986315392489623</v>
      </c>
    </row>
    <row r="65" spans="1:18" x14ac:dyDescent="0.2">
      <c r="A65" s="5">
        <v>43602</v>
      </c>
      <c r="B65" s="12">
        <v>67259</v>
      </c>
      <c r="C65" s="12">
        <v>5671</v>
      </c>
      <c r="D65" s="12">
        <v>72930</v>
      </c>
      <c r="F65" s="5">
        <v>44333</v>
      </c>
      <c r="G65" s="12">
        <v>51887</v>
      </c>
      <c r="H65" s="12">
        <v>5861</v>
      </c>
      <c r="I65" s="12">
        <v>57748</v>
      </c>
      <c r="K65" s="5">
        <v>43605</v>
      </c>
      <c r="L65" s="5">
        <v>44333</v>
      </c>
      <c r="M65" s="12">
        <v>-4814</v>
      </c>
      <c r="N65" s="12">
        <v>281</v>
      </c>
      <c r="O65" s="12">
        <v>-4533</v>
      </c>
      <c r="P65" s="9">
        <v>-8.4901500855364076E-2</v>
      </c>
      <c r="Q65" s="9">
        <v>5.0358422939068115E-2</v>
      </c>
      <c r="R65" s="13">
        <v>-7.278303174322831E-2</v>
      </c>
    </row>
    <row r="66" spans="1:18" x14ac:dyDescent="0.2">
      <c r="A66" s="5">
        <v>43603</v>
      </c>
      <c r="B66" s="12">
        <v>66652</v>
      </c>
      <c r="C66" s="12">
        <v>1417</v>
      </c>
      <c r="D66" s="12">
        <v>68069</v>
      </c>
      <c r="F66" s="5">
        <v>44334</v>
      </c>
      <c r="G66" s="12">
        <v>53574</v>
      </c>
      <c r="H66" s="12">
        <v>6242</v>
      </c>
      <c r="I66" s="12">
        <v>59816</v>
      </c>
      <c r="K66" s="5">
        <v>43606</v>
      </c>
      <c r="L66" s="5">
        <v>44334</v>
      </c>
      <c r="M66" s="12">
        <v>-4530</v>
      </c>
      <c r="N66" s="12">
        <v>299</v>
      </c>
      <c r="O66" s="12">
        <v>-4231</v>
      </c>
      <c r="P66" s="9">
        <v>-7.7963651383725741E-2</v>
      </c>
      <c r="Q66" s="9">
        <v>5.031129059397621E-2</v>
      </c>
      <c r="R66" s="13">
        <v>-6.6060861554795736E-2</v>
      </c>
    </row>
    <row r="67" spans="1:18" x14ac:dyDescent="0.2">
      <c r="A67" s="5">
        <v>43604</v>
      </c>
      <c r="B67" s="12">
        <v>55156</v>
      </c>
      <c r="C67" s="12">
        <v>527</v>
      </c>
      <c r="D67" s="12">
        <v>55683</v>
      </c>
      <c r="F67" s="5">
        <v>44335</v>
      </c>
      <c r="G67" s="12">
        <v>55806</v>
      </c>
      <c r="H67" s="12">
        <v>6418</v>
      </c>
      <c r="I67" s="12">
        <v>62224</v>
      </c>
      <c r="K67" s="5">
        <v>43607</v>
      </c>
      <c r="L67" s="5">
        <v>44335</v>
      </c>
      <c r="M67" s="12">
        <v>-5786</v>
      </c>
      <c r="N67" s="12">
        <v>356</v>
      </c>
      <c r="O67" s="12">
        <v>-5430</v>
      </c>
      <c r="P67" s="9">
        <v>-9.3940771528770006E-2</v>
      </c>
      <c r="Q67" s="9">
        <v>5.8726492906631567E-2</v>
      </c>
      <c r="R67" s="13">
        <v>-8.0261329707038809E-2</v>
      </c>
    </row>
    <row r="68" spans="1:18" x14ac:dyDescent="0.2">
      <c r="A68" s="5">
        <v>43605</v>
      </c>
      <c r="B68" s="12">
        <v>56701</v>
      </c>
      <c r="C68" s="12">
        <v>5580</v>
      </c>
      <c r="D68" s="12">
        <v>62281</v>
      </c>
      <c r="F68" s="5">
        <v>44336</v>
      </c>
      <c r="G68" s="12">
        <v>57321</v>
      </c>
      <c r="H68" s="12">
        <v>6401</v>
      </c>
      <c r="I68" s="12">
        <v>63722</v>
      </c>
      <c r="K68" s="5">
        <v>43608</v>
      </c>
      <c r="L68" s="5">
        <v>44336</v>
      </c>
      <c r="M68" s="12">
        <v>-4528</v>
      </c>
      <c r="N68" s="12">
        <v>412</v>
      </c>
      <c r="O68" s="12">
        <v>-4116</v>
      </c>
      <c r="P68" s="9">
        <v>-7.3210561205516611E-2</v>
      </c>
      <c r="Q68" s="9">
        <v>6.8792786775755621E-2</v>
      </c>
      <c r="R68" s="13">
        <v>-6.0673958548306262E-2</v>
      </c>
    </row>
    <row r="69" spans="1:18" x14ac:dyDescent="0.2">
      <c r="A69" s="5">
        <v>43606</v>
      </c>
      <c r="B69" s="12">
        <v>58104</v>
      </c>
      <c r="C69" s="12">
        <v>5943</v>
      </c>
      <c r="D69" s="12">
        <v>64047</v>
      </c>
      <c r="F69" s="5">
        <v>44337</v>
      </c>
      <c r="G69" s="12">
        <v>62271</v>
      </c>
      <c r="H69" s="12">
        <v>6086</v>
      </c>
      <c r="I69" s="12">
        <v>68357</v>
      </c>
      <c r="K69" s="5">
        <v>43609</v>
      </c>
      <c r="L69" s="5">
        <v>44337</v>
      </c>
      <c r="M69" s="12">
        <v>-4418</v>
      </c>
      <c r="N69" s="12">
        <v>497</v>
      </c>
      <c r="O69" s="12">
        <v>-3921</v>
      </c>
      <c r="P69" s="9">
        <v>-6.6247806984660151E-2</v>
      </c>
      <c r="Q69" s="9">
        <v>8.8924673465736292E-2</v>
      </c>
      <c r="R69" s="13">
        <v>-5.4248872409308535E-2</v>
      </c>
    </row>
    <row r="70" spans="1:18" x14ac:dyDescent="0.2">
      <c r="A70" s="5">
        <v>43607</v>
      </c>
      <c r="B70" s="12">
        <v>61592</v>
      </c>
      <c r="C70" s="12">
        <v>6062</v>
      </c>
      <c r="D70" s="12">
        <v>67654</v>
      </c>
      <c r="F70" s="5">
        <v>44338</v>
      </c>
      <c r="G70" s="12">
        <v>63028</v>
      </c>
      <c r="H70" s="12">
        <v>1500</v>
      </c>
      <c r="I70" s="12">
        <v>64528</v>
      </c>
      <c r="K70" s="5">
        <v>43610</v>
      </c>
      <c r="L70" s="5">
        <v>44338</v>
      </c>
      <c r="M70" s="12">
        <v>-5477</v>
      </c>
      <c r="N70" s="12">
        <v>-25</v>
      </c>
      <c r="O70" s="12">
        <v>-5502</v>
      </c>
      <c r="P70" s="9">
        <v>-7.995036858623461E-2</v>
      </c>
      <c r="Q70" s="9">
        <v>-1.6393442622950838E-2</v>
      </c>
      <c r="R70" s="13">
        <v>-7.8566328716264455E-2</v>
      </c>
    </row>
    <row r="71" spans="1:18" x14ac:dyDescent="0.2">
      <c r="A71" s="5">
        <v>43608</v>
      </c>
      <c r="B71" s="12">
        <v>61849</v>
      </c>
      <c r="C71" s="12">
        <v>5989</v>
      </c>
      <c r="D71" s="12">
        <v>67838</v>
      </c>
      <c r="F71" s="5">
        <v>44339</v>
      </c>
      <c r="G71" s="12">
        <v>49827</v>
      </c>
      <c r="H71" s="12">
        <v>229</v>
      </c>
      <c r="I71" s="12">
        <v>50056</v>
      </c>
      <c r="K71" s="5">
        <v>43611</v>
      </c>
      <c r="L71" s="5">
        <v>44339</v>
      </c>
      <c r="M71" s="12">
        <v>-7062</v>
      </c>
      <c r="N71" s="12">
        <v>-320</v>
      </c>
      <c r="O71" s="12">
        <v>-7382</v>
      </c>
      <c r="P71" s="9">
        <v>-0.12413647629594471</v>
      </c>
      <c r="Q71" s="9">
        <v>-0.58287795992714031</v>
      </c>
      <c r="R71" s="13">
        <v>-0.1285211880636512</v>
      </c>
    </row>
    <row r="72" spans="1:18" x14ac:dyDescent="0.2">
      <c r="A72" s="5">
        <v>43609</v>
      </c>
      <c r="B72" s="12">
        <v>66689</v>
      </c>
      <c r="C72" s="12">
        <v>5589</v>
      </c>
      <c r="D72" s="12">
        <v>72278</v>
      </c>
      <c r="F72" s="5">
        <v>44340</v>
      </c>
      <c r="G72" s="12">
        <v>46859</v>
      </c>
      <c r="H72" s="12">
        <v>647</v>
      </c>
      <c r="I72" s="12">
        <v>47506</v>
      </c>
      <c r="K72" s="5">
        <v>43612</v>
      </c>
      <c r="L72" s="5">
        <v>44340</v>
      </c>
      <c r="M72" s="12">
        <v>-12456</v>
      </c>
      <c r="N72" s="12">
        <v>-5266</v>
      </c>
      <c r="O72" s="12">
        <v>-17722</v>
      </c>
      <c r="P72" s="9">
        <v>-0.20999747112871958</v>
      </c>
      <c r="Q72" s="9">
        <v>-0.89058007779468973</v>
      </c>
      <c r="R72" s="13">
        <v>-0.27169313791623229</v>
      </c>
    </row>
    <row r="73" spans="1:18" x14ac:dyDescent="0.2">
      <c r="A73" s="5">
        <v>43610</v>
      </c>
      <c r="B73" s="12">
        <v>68505</v>
      </c>
      <c r="C73" s="12">
        <v>1525</v>
      </c>
      <c r="D73" s="12">
        <v>70030</v>
      </c>
      <c r="F73" s="5">
        <v>44341</v>
      </c>
      <c r="G73" s="12">
        <v>56385</v>
      </c>
      <c r="H73" s="12">
        <v>6338</v>
      </c>
      <c r="I73" s="12">
        <v>62723</v>
      </c>
      <c r="K73" s="5">
        <v>43613</v>
      </c>
      <c r="L73" s="5">
        <v>44341</v>
      </c>
      <c r="M73" s="12">
        <v>-5060</v>
      </c>
      <c r="N73" s="12">
        <v>-227</v>
      </c>
      <c r="O73" s="12">
        <v>-5287</v>
      </c>
      <c r="P73" s="9">
        <v>-8.2350069167548168E-2</v>
      </c>
      <c r="Q73" s="9">
        <v>-3.4577303884234523E-2</v>
      </c>
      <c r="R73" s="13">
        <v>-7.7738567857667973E-2</v>
      </c>
    </row>
    <row r="74" spans="1:18" x14ac:dyDescent="0.2">
      <c r="A74" s="5">
        <v>43611</v>
      </c>
      <c r="B74" s="12">
        <v>56889</v>
      </c>
      <c r="C74" s="12">
        <v>549</v>
      </c>
      <c r="D74" s="12">
        <v>57438</v>
      </c>
      <c r="F74" s="5">
        <v>44342</v>
      </c>
      <c r="G74" s="12">
        <v>56202</v>
      </c>
      <c r="H74" s="12">
        <v>6426</v>
      </c>
      <c r="I74" s="12">
        <v>62628</v>
      </c>
      <c r="K74" s="5">
        <v>43614</v>
      </c>
      <c r="L74" s="5">
        <v>44342</v>
      </c>
      <c r="M74" s="12">
        <v>-11889</v>
      </c>
      <c r="N74" s="12">
        <v>138</v>
      </c>
      <c r="O74" s="12">
        <v>-11751</v>
      </c>
      <c r="P74" s="9">
        <v>-0.17460457329162449</v>
      </c>
      <c r="Q74" s="9">
        <v>2.1946564885496178E-2</v>
      </c>
      <c r="R74" s="13">
        <v>-0.15798814181422172</v>
      </c>
    </row>
    <row r="75" spans="1:18" x14ac:dyDescent="0.2">
      <c r="A75" s="5">
        <v>43612</v>
      </c>
      <c r="B75" s="12">
        <v>59315</v>
      </c>
      <c r="C75" s="12">
        <v>5913</v>
      </c>
      <c r="D75" s="12">
        <v>65228</v>
      </c>
      <c r="F75" s="5">
        <v>44343</v>
      </c>
      <c r="G75" s="12">
        <v>57587</v>
      </c>
      <c r="H75" s="12">
        <v>6445</v>
      </c>
      <c r="I75" s="12">
        <v>64032</v>
      </c>
      <c r="K75" s="5">
        <v>43615</v>
      </c>
      <c r="L75" s="5">
        <v>44343</v>
      </c>
      <c r="M75" s="12">
        <v>2627</v>
      </c>
      <c r="N75" s="12">
        <v>5705</v>
      </c>
      <c r="O75" s="12">
        <v>8332</v>
      </c>
      <c r="P75" s="9">
        <v>4.7798398835516842E-2</v>
      </c>
      <c r="Q75" s="9">
        <v>7.7094594594594597</v>
      </c>
      <c r="R75" s="13">
        <v>0.14958707360861756</v>
      </c>
    </row>
    <row r="76" spans="1:18" x14ac:dyDescent="0.2">
      <c r="A76" s="5">
        <v>43613</v>
      </c>
      <c r="B76" s="12">
        <v>61445</v>
      </c>
      <c r="C76" s="12">
        <v>6565</v>
      </c>
      <c r="D76" s="12">
        <v>68010</v>
      </c>
      <c r="F76" s="5">
        <v>44344</v>
      </c>
      <c r="G76" s="12">
        <v>63626</v>
      </c>
      <c r="H76" s="12">
        <v>6047</v>
      </c>
      <c r="I76" s="12">
        <v>69673</v>
      </c>
      <c r="K76" s="5">
        <v>43616</v>
      </c>
      <c r="L76" s="5">
        <v>44344</v>
      </c>
      <c r="M76" s="12">
        <v>1934</v>
      </c>
      <c r="N76" s="12">
        <v>1482</v>
      </c>
      <c r="O76" s="12">
        <v>3416</v>
      </c>
      <c r="P76" s="9">
        <v>3.1349283537573713E-2</v>
      </c>
      <c r="Q76" s="9">
        <v>0.32464403066812708</v>
      </c>
      <c r="R76" s="13">
        <v>5.1556816638242076E-2</v>
      </c>
    </row>
    <row r="77" spans="1:18" x14ac:dyDescent="0.2">
      <c r="A77" s="5">
        <v>43614</v>
      </c>
      <c r="B77" s="12">
        <v>68091</v>
      </c>
      <c r="C77" s="12">
        <v>6288</v>
      </c>
      <c r="D77" s="12">
        <v>74379</v>
      </c>
      <c r="F77" s="5">
        <v>44345</v>
      </c>
      <c r="G77" s="12">
        <v>63546</v>
      </c>
      <c r="H77" s="12">
        <v>1445</v>
      </c>
      <c r="I77" s="12">
        <v>64991</v>
      </c>
      <c r="K77" s="5">
        <v>43617</v>
      </c>
      <c r="L77" s="5">
        <v>44345</v>
      </c>
      <c r="M77" s="12">
        <v>3061</v>
      </c>
      <c r="N77" s="12">
        <v>50</v>
      </c>
      <c r="O77" s="12">
        <v>3111</v>
      </c>
      <c r="P77" s="9">
        <v>5.0607588658345026E-2</v>
      </c>
      <c r="Q77" s="9">
        <v>3.584229390680993E-2</v>
      </c>
      <c r="R77" s="13">
        <v>5.0274725274725318E-2</v>
      </c>
    </row>
    <row r="78" spans="1:18" x14ac:dyDescent="0.2">
      <c r="A78" s="5">
        <v>43615</v>
      </c>
      <c r="B78" s="12">
        <v>54960</v>
      </c>
      <c r="C78" s="12">
        <v>740</v>
      </c>
      <c r="D78" s="12">
        <v>55700</v>
      </c>
      <c r="F78" s="5">
        <v>44346</v>
      </c>
      <c r="G78" s="12">
        <v>53334</v>
      </c>
      <c r="H78" s="12">
        <v>490</v>
      </c>
      <c r="I78" s="12">
        <v>53824</v>
      </c>
      <c r="K78" s="5">
        <v>43618</v>
      </c>
      <c r="L78" s="5">
        <v>44346</v>
      </c>
      <c r="M78" s="12">
        <v>-5008</v>
      </c>
      <c r="N78" s="12">
        <v>-139</v>
      </c>
      <c r="O78" s="12">
        <v>-5147</v>
      </c>
      <c r="P78" s="9">
        <v>-8.5838675396798236E-2</v>
      </c>
      <c r="Q78" s="9">
        <v>-0.22098569157392689</v>
      </c>
      <c r="R78" s="13">
        <v>-8.7280188567261829E-2</v>
      </c>
    </row>
    <row r="79" spans="1:18" x14ac:dyDescent="0.2">
      <c r="A79" s="5">
        <v>43616</v>
      </c>
      <c r="B79" s="12">
        <v>61692</v>
      </c>
      <c r="C79" s="12">
        <v>4565</v>
      </c>
      <c r="D79" s="12">
        <v>66257</v>
      </c>
      <c r="F79" s="5">
        <v>44347</v>
      </c>
      <c r="G79" s="12">
        <v>55375</v>
      </c>
      <c r="H79" s="12">
        <v>5873</v>
      </c>
      <c r="I79" s="12">
        <v>61248</v>
      </c>
      <c r="K79" s="5">
        <v>43619</v>
      </c>
      <c r="L79" s="5">
        <v>44347</v>
      </c>
      <c r="M79" s="12">
        <f t="shared" ref="M79:O79" si="2">G79-B82</f>
        <v>-3048</v>
      </c>
      <c r="N79" s="12">
        <f t="shared" si="2"/>
        <v>125</v>
      </c>
      <c r="O79" s="12">
        <f t="shared" si="2"/>
        <v>-2923</v>
      </c>
      <c r="P79" s="9">
        <f t="shared" ref="P79:R79" si="3">G79/B82-1</f>
        <v>-5.2171233931841865E-2</v>
      </c>
      <c r="Q79" s="9">
        <f t="shared" si="3"/>
        <v>2.1746694502435604E-2</v>
      </c>
      <c r="R79" s="13">
        <f t="shared" si="3"/>
        <v>-4.555017063782707E-2</v>
      </c>
    </row>
    <row r="80" spans="1:18" x14ac:dyDescent="0.2">
      <c r="A80" s="5">
        <v>43617</v>
      </c>
      <c r="B80" s="12">
        <v>60485</v>
      </c>
      <c r="C80" s="12">
        <v>1395</v>
      </c>
      <c r="D80" s="12">
        <v>61880</v>
      </c>
      <c r="F80" s="5"/>
      <c r="G80" s="12"/>
      <c r="H80" s="12"/>
      <c r="I80" s="12"/>
      <c r="L80" s="5"/>
      <c r="M80" s="12"/>
      <c r="N80" s="12"/>
      <c r="O80" s="12"/>
      <c r="P80" s="9"/>
      <c r="Q80" s="9"/>
      <c r="R80" s="13"/>
    </row>
    <row r="81" spans="1:18" x14ac:dyDescent="0.2">
      <c r="A81" s="5">
        <v>43618</v>
      </c>
      <c r="B81" s="12">
        <v>58342</v>
      </c>
      <c r="C81" s="12">
        <v>629</v>
      </c>
      <c r="D81" s="12">
        <v>58971</v>
      </c>
      <c r="F81" s="5"/>
      <c r="G81" s="12"/>
      <c r="H81" s="12"/>
      <c r="I81" s="12"/>
      <c r="K81" s="5"/>
      <c r="L81" s="5"/>
      <c r="M81" s="12"/>
      <c r="N81" s="12"/>
      <c r="O81" s="12"/>
      <c r="P81" s="9"/>
      <c r="Q81" s="9"/>
      <c r="R81" s="13"/>
    </row>
    <row r="82" spans="1:18" x14ac:dyDescent="0.2">
      <c r="A82" s="5">
        <v>43619</v>
      </c>
      <c r="B82" s="12">
        <v>58423</v>
      </c>
      <c r="C82" s="12">
        <v>5748</v>
      </c>
      <c r="D82" s="12">
        <v>64171</v>
      </c>
      <c r="F82" s="5"/>
      <c r="G82" s="12"/>
      <c r="H82" s="12"/>
      <c r="I82" s="12"/>
      <c r="K82" s="5"/>
      <c r="L82" s="5"/>
      <c r="M82" s="12"/>
      <c r="N82" s="12"/>
      <c r="O82" s="12"/>
      <c r="P82" s="9"/>
      <c r="Q82" s="9"/>
      <c r="R82" s="13"/>
    </row>
    <row r="83" spans="1:18" x14ac:dyDescent="0.2">
      <c r="A83" s="5"/>
      <c r="B83" s="2"/>
      <c r="C83" s="2"/>
      <c r="D83" s="2"/>
      <c r="F83" s="5"/>
      <c r="G83" s="2"/>
      <c r="H83" s="2"/>
      <c r="I83" s="2"/>
      <c r="L83" s="5"/>
      <c r="M83" s="2"/>
      <c r="N83" s="2"/>
      <c r="O83" s="2"/>
      <c r="P83" s="2"/>
      <c r="Q83" s="2"/>
      <c r="R83" s="14"/>
    </row>
    <row r="84" spans="1:18" x14ac:dyDescent="0.2">
      <c r="B84" s="2"/>
      <c r="C84" s="2"/>
      <c r="G84" s="2"/>
      <c r="H84" s="2"/>
    </row>
    <row r="85" spans="1:18" ht="12.95" customHeight="1" x14ac:dyDescent="0.2">
      <c r="A85" s="26" t="s">
        <v>32</v>
      </c>
      <c r="B85" s="6"/>
      <c r="C85" s="6"/>
      <c r="D85" s="3"/>
      <c r="F85" s="26" t="s">
        <v>32</v>
      </c>
      <c r="G85" s="6"/>
      <c r="H85" s="6"/>
      <c r="I85" s="3"/>
      <c r="K85" s="26" t="s">
        <v>33</v>
      </c>
      <c r="L85" s="26"/>
      <c r="M85" s="6"/>
      <c r="N85" s="6"/>
      <c r="O85" s="3"/>
      <c r="P85" s="6"/>
      <c r="Q85" s="6"/>
      <c r="R85" s="3"/>
    </row>
    <row r="86" spans="1:18" ht="27" customHeight="1" x14ac:dyDescent="0.2">
      <c r="A86" s="27"/>
      <c r="B86" s="8" t="s">
        <v>38</v>
      </c>
      <c r="C86" s="4" t="s">
        <v>2</v>
      </c>
      <c r="D86" s="4" t="s">
        <v>0</v>
      </c>
      <c r="F86" s="27"/>
      <c r="G86" s="8" t="s">
        <v>38</v>
      </c>
      <c r="H86" s="4" t="s">
        <v>2</v>
      </c>
      <c r="I86" s="4" t="s">
        <v>0</v>
      </c>
      <c r="K86" s="27"/>
      <c r="L86" s="27"/>
      <c r="M86" s="8" t="s">
        <v>38</v>
      </c>
      <c r="N86" s="4" t="s">
        <v>2</v>
      </c>
      <c r="O86" s="4" t="s">
        <v>0</v>
      </c>
      <c r="P86" s="8" t="s">
        <v>38</v>
      </c>
      <c r="Q86" s="4" t="s">
        <v>2</v>
      </c>
      <c r="R86" s="4" t="s">
        <v>0</v>
      </c>
    </row>
    <row r="87" spans="1:18" x14ac:dyDescent="0.2">
      <c r="A87" s="5">
        <v>43586</v>
      </c>
      <c r="B87" s="12">
        <v>53529</v>
      </c>
      <c r="C87" s="12">
        <v>2408</v>
      </c>
      <c r="D87" s="12">
        <v>55937</v>
      </c>
      <c r="F87" s="5">
        <v>44317</v>
      </c>
      <c r="G87" s="12">
        <v>56221</v>
      </c>
      <c r="H87" s="12">
        <v>826</v>
      </c>
      <c r="I87" s="12">
        <v>57047</v>
      </c>
      <c r="K87" s="5">
        <v>43589</v>
      </c>
      <c r="L87" s="5">
        <v>44317</v>
      </c>
      <c r="M87" s="12">
        <v>-8549</v>
      </c>
      <c r="N87" s="12">
        <v>-391</v>
      </c>
      <c r="O87" s="12">
        <v>-8940</v>
      </c>
      <c r="P87" s="9">
        <v>-0.13199011888219858</v>
      </c>
      <c r="Q87" s="9">
        <v>-0.32128184059161868</v>
      </c>
      <c r="R87" s="13">
        <v>-0.1354812311515905</v>
      </c>
    </row>
    <row r="88" spans="1:18" x14ac:dyDescent="0.2">
      <c r="A88" s="5">
        <v>43587</v>
      </c>
      <c r="B88" s="12">
        <v>59574</v>
      </c>
      <c r="C88" s="12">
        <v>5869</v>
      </c>
      <c r="D88" s="12">
        <v>65443</v>
      </c>
      <c r="F88" s="5">
        <v>44318</v>
      </c>
      <c r="G88" s="12">
        <v>43950</v>
      </c>
      <c r="H88" s="12">
        <v>329</v>
      </c>
      <c r="I88" s="12">
        <v>44279</v>
      </c>
      <c r="K88" s="5">
        <v>43590</v>
      </c>
      <c r="L88" s="5">
        <v>44318</v>
      </c>
      <c r="M88" s="12">
        <v>-11166</v>
      </c>
      <c r="N88" s="12">
        <v>-151</v>
      </c>
      <c r="O88" s="12">
        <v>-11317</v>
      </c>
      <c r="P88" s="9">
        <v>-0.2025908991944263</v>
      </c>
      <c r="Q88" s="9">
        <v>-0.31458333333333333</v>
      </c>
      <c r="R88" s="13">
        <v>-0.20355780991438233</v>
      </c>
    </row>
    <row r="89" spans="1:18" x14ac:dyDescent="0.2">
      <c r="A89" s="5">
        <v>43588</v>
      </c>
      <c r="B89" s="12">
        <v>63185</v>
      </c>
      <c r="C89" s="12">
        <v>5526</v>
      </c>
      <c r="D89" s="12">
        <v>68711</v>
      </c>
      <c r="F89" s="5">
        <v>44319</v>
      </c>
      <c r="G89" s="12">
        <v>52128</v>
      </c>
      <c r="H89" s="12">
        <v>5458</v>
      </c>
      <c r="I89" s="12">
        <v>57586</v>
      </c>
      <c r="K89" s="5">
        <v>43591</v>
      </c>
      <c r="L89" s="5">
        <v>44319</v>
      </c>
      <c r="M89" s="12">
        <v>-6526</v>
      </c>
      <c r="N89" s="12">
        <v>-300</v>
      </c>
      <c r="O89" s="12">
        <v>-6826</v>
      </c>
      <c r="P89" s="9">
        <v>-0.11126265898318954</v>
      </c>
      <c r="Q89" s="9">
        <v>-5.2101424105592264E-2</v>
      </c>
      <c r="R89" s="13">
        <v>-0.10597404210395578</v>
      </c>
    </row>
    <row r="90" spans="1:18" x14ac:dyDescent="0.2">
      <c r="A90" s="5">
        <v>43589</v>
      </c>
      <c r="B90" s="12">
        <v>64770</v>
      </c>
      <c r="C90" s="12">
        <v>1217</v>
      </c>
      <c r="D90" s="12">
        <v>65987</v>
      </c>
      <c r="F90" s="5">
        <v>44320</v>
      </c>
      <c r="G90" s="12">
        <v>53883</v>
      </c>
      <c r="H90" s="12">
        <v>6141</v>
      </c>
      <c r="I90" s="12">
        <v>60024</v>
      </c>
      <c r="K90" s="5">
        <v>43592</v>
      </c>
      <c r="L90" s="5">
        <v>44320</v>
      </c>
      <c r="M90" s="12">
        <v>-5286</v>
      </c>
      <c r="N90" s="12">
        <v>28</v>
      </c>
      <c r="O90" s="12">
        <v>-5258</v>
      </c>
      <c r="P90" s="9">
        <v>-8.9337321908431799E-2</v>
      </c>
      <c r="Q90" s="9">
        <v>4.5804024210698291E-3</v>
      </c>
      <c r="R90" s="13">
        <v>-8.0542875524646895E-2</v>
      </c>
    </row>
    <row r="91" spans="1:18" x14ac:dyDescent="0.2">
      <c r="A91" s="5">
        <v>43590</v>
      </c>
      <c r="B91" s="12">
        <v>55116</v>
      </c>
      <c r="C91" s="12">
        <v>480</v>
      </c>
      <c r="D91" s="12">
        <v>55596</v>
      </c>
      <c r="F91" s="5">
        <v>44321</v>
      </c>
      <c r="G91" s="12">
        <v>55395</v>
      </c>
      <c r="H91" s="12">
        <v>6279</v>
      </c>
      <c r="I91" s="12">
        <v>61674</v>
      </c>
      <c r="K91" s="5">
        <v>43593</v>
      </c>
      <c r="L91" s="5">
        <v>44321</v>
      </c>
      <c r="M91" s="12">
        <v>-2534</v>
      </c>
      <c r="N91" s="12">
        <v>368</v>
      </c>
      <c r="O91" s="12">
        <v>-2166</v>
      </c>
      <c r="P91" s="9">
        <v>-4.3743202886291854E-2</v>
      </c>
      <c r="Q91" s="9">
        <v>6.2256809338521402E-2</v>
      </c>
      <c r="R91" s="13">
        <v>-3.3928571428571419E-2</v>
      </c>
    </row>
    <row r="92" spans="1:18" x14ac:dyDescent="0.2">
      <c r="A92" s="5">
        <v>43591</v>
      </c>
      <c r="B92" s="12">
        <v>58654</v>
      </c>
      <c r="C92" s="12">
        <v>5758</v>
      </c>
      <c r="D92" s="12">
        <v>64412</v>
      </c>
      <c r="F92" s="5">
        <v>44322</v>
      </c>
      <c r="G92" s="12">
        <v>54555</v>
      </c>
      <c r="H92" s="12">
        <v>6186</v>
      </c>
      <c r="I92" s="12">
        <v>60741</v>
      </c>
      <c r="K92" s="5">
        <v>43594</v>
      </c>
      <c r="L92" s="5">
        <v>44322</v>
      </c>
      <c r="M92" s="12">
        <v>-5423</v>
      </c>
      <c r="N92" s="12">
        <v>285</v>
      </c>
      <c r="O92" s="12">
        <v>-5138</v>
      </c>
      <c r="P92" s="9">
        <v>-9.0416486044883171E-2</v>
      </c>
      <c r="Q92" s="9">
        <v>4.8296898830706647E-2</v>
      </c>
      <c r="R92" s="13">
        <v>-7.7991469208700814E-2</v>
      </c>
    </row>
    <row r="93" spans="1:18" x14ac:dyDescent="0.2">
      <c r="A93" s="5">
        <v>43592</v>
      </c>
      <c r="B93" s="12">
        <v>59169</v>
      </c>
      <c r="C93" s="12">
        <v>6113</v>
      </c>
      <c r="D93" s="12">
        <v>65282</v>
      </c>
      <c r="F93" s="5">
        <v>44323</v>
      </c>
      <c r="G93" s="12">
        <v>60156</v>
      </c>
      <c r="H93" s="12">
        <v>5720</v>
      </c>
      <c r="I93" s="12">
        <v>65876</v>
      </c>
      <c r="K93" s="5">
        <v>43595</v>
      </c>
      <c r="L93" s="5">
        <v>44323</v>
      </c>
      <c r="M93" s="12">
        <v>-4569</v>
      </c>
      <c r="N93" s="12">
        <v>177</v>
      </c>
      <c r="O93" s="12">
        <v>-4392</v>
      </c>
      <c r="P93" s="9">
        <v>-7.0590961761297755E-2</v>
      </c>
      <c r="Q93" s="9">
        <v>3.193216669673471E-2</v>
      </c>
      <c r="R93" s="13">
        <v>-6.2503557807252252E-2</v>
      </c>
    </row>
    <row r="94" spans="1:18" x14ac:dyDescent="0.2">
      <c r="A94" s="5">
        <v>43593</v>
      </c>
      <c r="B94" s="12">
        <v>57929</v>
      </c>
      <c r="C94" s="12">
        <v>5911</v>
      </c>
      <c r="D94" s="12">
        <v>63840</v>
      </c>
      <c r="F94" s="5">
        <v>44324</v>
      </c>
      <c r="G94" s="12">
        <v>61443</v>
      </c>
      <c r="H94" s="12">
        <v>1252</v>
      </c>
      <c r="I94" s="12">
        <v>62695</v>
      </c>
      <c r="K94" s="5">
        <v>43596</v>
      </c>
      <c r="L94" s="5">
        <v>44324</v>
      </c>
      <c r="M94" s="12">
        <v>-5924</v>
      </c>
      <c r="N94" s="12">
        <v>-58</v>
      </c>
      <c r="O94" s="12">
        <v>-5982</v>
      </c>
      <c r="P94" s="9">
        <v>-8.7936229904849506E-2</v>
      </c>
      <c r="Q94" s="9">
        <v>-4.4274809160305351E-2</v>
      </c>
      <c r="R94" s="13">
        <v>-8.7103397061607191E-2</v>
      </c>
    </row>
    <row r="95" spans="1:18" x14ac:dyDescent="0.2">
      <c r="A95" s="5">
        <v>43594</v>
      </c>
      <c r="B95" s="12">
        <v>59978</v>
      </c>
      <c r="C95" s="12">
        <v>5901</v>
      </c>
      <c r="D95" s="12">
        <v>65879</v>
      </c>
      <c r="F95" s="5">
        <v>44325</v>
      </c>
      <c r="G95" s="12">
        <v>52716</v>
      </c>
      <c r="H95" s="12">
        <v>302</v>
      </c>
      <c r="I95" s="12">
        <v>53018</v>
      </c>
      <c r="K95" s="5">
        <v>43597</v>
      </c>
      <c r="L95" s="5">
        <v>44325</v>
      </c>
      <c r="M95" s="12">
        <v>-6237</v>
      </c>
      <c r="N95" s="12">
        <v>-129</v>
      </c>
      <c r="O95" s="12">
        <v>-6366</v>
      </c>
      <c r="P95" s="9">
        <v>-0.10579614268993942</v>
      </c>
      <c r="Q95" s="9">
        <v>-0.29930394431554519</v>
      </c>
      <c r="R95" s="13">
        <v>-0.10720059275225646</v>
      </c>
    </row>
    <row r="96" spans="1:18" x14ac:dyDescent="0.2">
      <c r="A96" s="5">
        <v>43595</v>
      </c>
      <c r="B96" s="12">
        <v>64725</v>
      </c>
      <c r="C96" s="12">
        <v>5543</v>
      </c>
      <c r="D96" s="12">
        <v>70268</v>
      </c>
      <c r="F96" s="5">
        <v>44326</v>
      </c>
      <c r="G96" s="12">
        <v>53437</v>
      </c>
      <c r="H96" s="12">
        <v>6031</v>
      </c>
      <c r="I96" s="12">
        <v>59468</v>
      </c>
      <c r="K96" s="5">
        <v>43598</v>
      </c>
      <c r="L96" s="5">
        <v>44326</v>
      </c>
      <c r="M96" s="12">
        <v>-5660</v>
      </c>
      <c r="N96" s="12">
        <v>190</v>
      </c>
      <c r="O96" s="12">
        <v>-5470</v>
      </c>
      <c r="P96" s="9">
        <v>-9.5774743218775882E-2</v>
      </c>
      <c r="Q96" s="9">
        <v>3.2528676596473183E-2</v>
      </c>
      <c r="R96" s="13">
        <v>-8.423419261449383E-2</v>
      </c>
    </row>
    <row r="97" spans="1:18" x14ac:dyDescent="0.2">
      <c r="A97" s="5">
        <v>43596</v>
      </c>
      <c r="B97" s="12">
        <v>67367</v>
      </c>
      <c r="C97" s="12">
        <v>1310</v>
      </c>
      <c r="D97" s="12">
        <v>68677</v>
      </c>
      <c r="F97" s="5">
        <v>44327</v>
      </c>
      <c r="G97" s="12">
        <v>52585</v>
      </c>
      <c r="H97" s="12">
        <v>6529</v>
      </c>
      <c r="I97" s="12">
        <v>59114</v>
      </c>
      <c r="K97" s="5">
        <v>43599</v>
      </c>
      <c r="L97" s="5">
        <v>44327</v>
      </c>
      <c r="M97" s="12">
        <v>-5274</v>
      </c>
      <c r="N97" s="12">
        <v>571</v>
      </c>
      <c r="O97" s="12">
        <v>-4703</v>
      </c>
      <c r="P97" s="9">
        <v>-9.1152629668677321E-2</v>
      </c>
      <c r="Q97" s="9">
        <v>9.5837529372272634E-2</v>
      </c>
      <c r="R97" s="13">
        <v>-7.3695096917749225E-2</v>
      </c>
    </row>
    <row r="98" spans="1:18" x14ac:dyDescent="0.2">
      <c r="A98" s="5">
        <v>43597</v>
      </c>
      <c r="B98" s="12">
        <v>58953</v>
      </c>
      <c r="C98" s="12">
        <v>431</v>
      </c>
      <c r="D98" s="12">
        <v>59384</v>
      </c>
      <c r="F98" s="5">
        <v>44328</v>
      </c>
      <c r="G98" s="12">
        <v>60000</v>
      </c>
      <c r="H98" s="12">
        <v>6158</v>
      </c>
      <c r="I98" s="12">
        <v>66158</v>
      </c>
      <c r="K98" s="5">
        <v>43600</v>
      </c>
      <c r="L98" s="5">
        <v>44328</v>
      </c>
      <c r="M98" s="12">
        <v>-814</v>
      </c>
      <c r="N98" s="12">
        <v>144</v>
      </c>
      <c r="O98" s="12">
        <v>-670</v>
      </c>
      <c r="P98" s="9">
        <v>-1.3385075804913327E-2</v>
      </c>
      <c r="Q98" s="9">
        <v>2.3944130362487437E-2</v>
      </c>
      <c r="R98" s="13">
        <v>-1.0025737714730365E-2</v>
      </c>
    </row>
    <row r="99" spans="1:18" x14ac:dyDescent="0.2">
      <c r="A99" s="5">
        <v>43598</v>
      </c>
      <c r="B99" s="12">
        <v>59097</v>
      </c>
      <c r="C99" s="12">
        <v>5841</v>
      </c>
      <c r="D99" s="12">
        <v>64938</v>
      </c>
      <c r="F99" s="5">
        <v>44329</v>
      </c>
      <c r="G99" s="12">
        <v>46750</v>
      </c>
      <c r="H99" s="12">
        <v>499</v>
      </c>
      <c r="I99" s="12">
        <v>47249</v>
      </c>
      <c r="K99" s="5">
        <v>43601</v>
      </c>
      <c r="L99" s="5">
        <v>44329</v>
      </c>
      <c r="M99" s="12">
        <v>-15093</v>
      </c>
      <c r="N99" s="12">
        <v>-5412</v>
      </c>
      <c r="O99" s="12">
        <v>-20505</v>
      </c>
      <c r="P99" s="9">
        <v>-0.24405349028992773</v>
      </c>
      <c r="Q99" s="9">
        <v>-0.91558111994586366</v>
      </c>
      <c r="R99" s="13">
        <v>-0.30263895858547096</v>
      </c>
    </row>
    <row r="100" spans="1:18" x14ac:dyDescent="0.2">
      <c r="A100" s="5">
        <v>43599</v>
      </c>
      <c r="B100" s="12">
        <v>57859</v>
      </c>
      <c r="C100" s="12">
        <v>5958</v>
      </c>
      <c r="D100" s="12">
        <v>63817</v>
      </c>
      <c r="F100" s="5">
        <v>44330</v>
      </c>
      <c r="G100" s="12">
        <v>59321</v>
      </c>
      <c r="H100" s="12">
        <v>4377</v>
      </c>
      <c r="I100" s="12">
        <v>63698</v>
      </c>
      <c r="K100" s="5">
        <v>43602</v>
      </c>
      <c r="L100" s="5">
        <v>44330</v>
      </c>
      <c r="M100" s="12">
        <v>-6063</v>
      </c>
      <c r="N100" s="12">
        <v>-1077</v>
      </c>
      <c r="O100" s="12">
        <v>-7140</v>
      </c>
      <c r="P100" s="9">
        <v>-9.2729108038663854E-2</v>
      </c>
      <c r="Q100" s="9">
        <v>-0.19746974697469744</v>
      </c>
      <c r="R100" s="13">
        <v>-0.10079335949631552</v>
      </c>
    </row>
    <row r="101" spans="1:18" x14ac:dyDescent="0.2">
      <c r="A101" s="5">
        <v>43600</v>
      </c>
      <c r="B101" s="12">
        <v>60814</v>
      </c>
      <c r="C101" s="12">
        <v>6014</v>
      </c>
      <c r="D101" s="12">
        <v>66828</v>
      </c>
      <c r="F101" s="5">
        <v>44331</v>
      </c>
      <c r="G101" s="12">
        <v>57386</v>
      </c>
      <c r="H101" s="12">
        <v>1215</v>
      </c>
      <c r="I101" s="12">
        <v>58601</v>
      </c>
      <c r="K101" s="5">
        <v>43603</v>
      </c>
      <c r="L101" s="5">
        <v>44331</v>
      </c>
      <c r="M101" s="12">
        <v>-8319</v>
      </c>
      <c r="N101" s="12">
        <v>-36</v>
      </c>
      <c r="O101" s="12">
        <v>-8355</v>
      </c>
      <c r="P101" s="9">
        <v>-0.12661136899779313</v>
      </c>
      <c r="Q101" s="9">
        <v>-2.877697841726623E-2</v>
      </c>
      <c r="R101" s="13">
        <v>-0.12478343987096008</v>
      </c>
    </row>
    <row r="102" spans="1:18" x14ac:dyDescent="0.2">
      <c r="A102" s="5">
        <v>43601</v>
      </c>
      <c r="B102" s="12">
        <v>61843</v>
      </c>
      <c r="C102" s="12">
        <v>5911</v>
      </c>
      <c r="D102" s="12">
        <v>67754</v>
      </c>
      <c r="F102" s="5">
        <v>44332</v>
      </c>
      <c r="G102" s="12">
        <v>49306</v>
      </c>
      <c r="H102" s="12">
        <v>413</v>
      </c>
      <c r="I102" s="12">
        <v>49719</v>
      </c>
      <c r="K102" s="5">
        <v>43604</v>
      </c>
      <c r="L102" s="5">
        <v>44332</v>
      </c>
      <c r="M102" s="12">
        <v>-6757</v>
      </c>
      <c r="N102" s="12">
        <v>-42</v>
      </c>
      <c r="O102" s="12">
        <v>-6799</v>
      </c>
      <c r="P102" s="9">
        <v>-0.12052512352175226</v>
      </c>
      <c r="Q102" s="9">
        <v>-9.2307692307692313E-2</v>
      </c>
      <c r="R102" s="13">
        <v>-0.12029795817261757</v>
      </c>
    </row>
    <row r="103" spans="1:18" x14ac:dyDescent="0.2">
      <c r="A103" s="5">
        <v>43602</v>
      </c>
      <c r="B103" s="12">
        <v>65384</v>
      </c>
      <c r="C103" s="12">
        <v>5454</v>
      </c>
      <c r="D103" s="12">
        <v>70838</v>
      </c>
      <c r="F103" s="5">
        <v>44333</v>
      </c>
      <c r="G103" s="12">
        <v>52739</v>
      </c>
      <c r="H103" s="12">
        <v>5959</v>
      </c>
      <c r="I103" s="12">
        <v>58698</v>
      </c>
      <c r="K103" s="5">
        <v>43605</v>
      </c>
      <c r="L103" s="5">
        <v>44333</v>
      </c>
      <c r="M103" s="12">
        <v>1216</v>
      </c>
      <c r="N103" s="12">
        <v>466</v>
      </c>
      <c r="O103" s="12">
        <v>1682</v>
      </c>
      <c r="P103" s="9">
        <v>2.3601110183801399E-2</v>
      </c>
      <c r="Q103" s="9">
        <v>8.4835244857090819E-2</v>
      </c>
      <c r="R103" s="13">
        <v>2.9500491090220349E-2</v>
      </c>
    </row>
    <row r="104" spans="1:18" x14ac:dyDescent="0.2">
      <c r="A104" s="5">
        <v>43603</v>
      </c>
      <c r="B104" s="12">
        <v>65705</v>
      </c>
      <c r="C104" s="12">
        <v>1251</v>
      </c>
      <c r="D104" s="12">
        <v>66956</v>
      </c>
      <c r="F104" s="5">
        <v>44334</v>
      </c>
      <c r="G104" s="12">
        <v>53550</v>
      </c>
      <c r="H104" s="12">
        <v>6241</v>
      </c>
      <c r="I104" s="12">
        <v>59791</v>
      </c>
      <c r="K104" s="5">
        <v>43606</v>
      </c>
      <c r="L104" s="5">
        <v>44334</v>
      </c>
      <c r="M104" s="12">
        <v>-2629</v>
      </c>
      <c r="N104" s="12">
        <v>256</v>
      </c>
      <c r="O104" s="12">
        <v>-2373</v>
      </c>
      <c r="P104" s="9">
        <v>-4.6796845796472031E-2</v>
      </c>
      <c r="Q104" s="9">
        <v>4.2773600668337464E-2</v>
      </c>
      <c r="R104" s="13">
        <v>-3.8173219226562027E-2</v>
      </c>
    </row>
    <row r="105" spans="1:18" x14ac:dyDescent="0.2">
      <c r="A105" s="5">
        <v>43604</v>
      </c>
      <c r="B105" s="12">
        <v>56063</v>
      </c>
      <c r="C105" s="12">
        <v>455</v>
      </c>
      <c r="D105" s="12">
        <v>56518</v>
      </c>
      <c r="F105" s="5">
        <v>44335</v>
      </c>
      <c r="G105" s="12">
        <v>55266</v>
      </c>
      <c r="H105" s="12">
        <v>6259</v>
      </c>
      <c r="I105" s="12">
        <v>61525</v>
      </c>
      <c r="K105" s="5">
        <v>43607</v>
      </c>
      <c r="L105" s="5">
        <v>44335</v>
      </c>
      <c r="M105" s="12">
        <v>-4937</v>
      </c>
      <c r="N105" s="12">
        <v>285</v>
      </c>
      <c r="O105" s="12">
        <v>-4652</v>
      </c>
      <c r="P105" s="9">
        <v>-8.2005880105642581E-2</v>
      </c>
      <c r="Q105" s="9">
        <v>4.7706729159691985E-2</v>
      </c>
      <c r="R105" s="13">
        <v>-7.0296326518276775E-2</v>
      </c>
    </row>
    <row r="106" spans="1:18" x14ac:dyDescent="0.2">
      <c r="A106" s="5">
        <v>43605</v>
      </c>
      <c r="B106" s="12">
        <v>51523</v>
      </c>
      <c r="C106" s="12">
        <v>5493</v>
      </c>
      <c r="D106" s="12">
        <v>57016</v>
      </c>
      <c r="F106" s="5">
        <v>44336</v>
      </c>
      <c r="G106" s="12">
        <v>56169</v>
      </c>
      <c r="H106" s="12">
        <v>6234</v>
      </c>
      <c r="I106" s="12">
        <v>62403</v>
      </c>
      <c r="K106" s="5">
        <v>43608</v>
      </c>
      <c r="L106" s="5">
        <v>44336</v>
      </c>
      <c r="M106" s="12">
        <v>-5941</v>
      </c>
      <c r="N106" s="12">
        <v>161</v>
      </c>
      <c r="O106" s="12">
        <v>-5780</v>
      </c>
      <c r="P106" s="9">
        <v>-9.5652873933344096E-2</v>
      </c>
      <c r="Q106" s="9">
        <v>2.6510785443767393E-2</v>
      </c>
      <c r="R106" s="13">
        <v>-8.4771863954358095E-2</v>
      </c>
    </row>
    <row r="107" spans="1:18" x14ac:dyDescent="0.2">
      <c r="A107" s="5">
        <v>43606</v>
      </c>
      <c r="B107" s="12">
        <v>56179</v>
      </c>
      <c r="C107" s="12">
        <v>5985</v>
      </c>
      <c r="D107" s="12">
        <v>62164</v>
      </c>
      <c r="F107" s="5">
        <v>44337</v>
      </c>
      <c r="G107" s="12">
        <v>58397</v>
      </c>
      <c r="H107" s="12">
        <v>5839</v>
      </c>
      <c r="I107" s="12">
        <v>64236</v>
      </c>
      <c r="K107" s="5">
        <v>43609</v>
      </c>
      <c r="L107" s="5">
        <v>44337</v>
      </c>
      <c r="M107" s="12">
        <v>-7629</v>
      </c>
      <c r="N107" s="12">
        <v>335</v>
      </c>
      <c r="O107" s="12">
        <v>-7294</v>
      </c>
      <c r="P107" s="9">
        <v>-0.11554539120952356</v>
      </c>
      <c r="Q107" s="9">
        <v>6.0864825581395277E-2</v>
      </c>
      <c r="R107" s="13">
        <v>-0.10197120089472944</v>
      </c>
    </row>
    <row r="108" spans="1:18" x14ac:dyDescent="0.2">
      <c r="A108" s="5">
        <v>43607</v>
      </c>
      <c r="B108" s="12">
        <v>60203</v>
      </c>
      <c r="C108" s="12">
        <v>5974</v>
      </c>
      <c r="D108" s="12">
        <v>66177</v>
      </c>
      <c r="F108" s="5">
        <v>44338</v>
      </c>
      <c r="G108" s="12">
        <v>61342</v>
      </c>
      <c r="H108" s="12">
        <v>1351</v>
      </c>
      <c r="I108" s="12">
        <v>62693</v>
      </c>
      <c r="K108" s="5">
        <v>43610</v>
      </c>
      <c r="L108" s="5">
        <v>44338</v>
      </c>
      <c r="M108" s="12">
        <v>-5864</v>
      </c>
      <c r="N108" s="12">
        <v>-45</v>
      </c>
      <c r="O108" s="12">
        <v>-5909</v>
      </c>
      <c r="P108" s="9">
        <v>-8.7254114215992606E-2</v>
      </c>
      <c r="Q108" s="9">
        <v>-3.2234957020057298E-2</v>
      </c>
      <c r="R108" s="13">
        <v>-8.6134515028716385E-2</v>
      </c>
    </row>
    <row r="109" spans="1:18" x14ac:dyDescent="0.2">
      <c r="A109" s="5">
        <v>43608</v>
      </c>
      <c r="B109" s="12">
        <v>62110</v>
      </c>
      <c r="C109" s="12">
        <v>6073</v>
      </c>
      <c r="D109" s="12">
        <v>68183</v>
      </c>
      <c r="F109" s="5">
        <v>44339</v>
      </c>
      <c r="G109" s="12">
        <v>49808</v>
      </c>
      <c r="H109" s="12">
        <v>199</v>
      </c>
      <c r="I109" s="12">
        <v>50007</v>
      </c>
      <c r="K109" s="5">
        <v>43611</v>
      </c>
      <c r="L109" s="5">
        <v>44339</v>
      </c>
      <c r="M109" s="12">
        <v>-7803</v>
      </c>
      <c r="N109" s="12">
        <v>-272</v>
      </c>
      <c r="O109" s="12">
        <v>-8075</v>
      </c>
      <c r="P109" s="9">
        <v>-0.13544288417142558</v>
      </c>
      <c r="Q109" s="9">
        <v>-0.57749469214437366</v>
      </c>
      <c r="R109" s="13">
        <v>-0.13902758169484519</v>
      </c>
    </row>
    <row r="110" spans="1:18" x14ac:dyDescent="0.2">
      <c r="A110" s="5">
        <v>43609</v>
      </c>
      <c r="B110" s="12">
        <v>66026</v>
      </c>
      <c r="C110" s="12">
        <v>5504</v>
      </c>
      <c r="D110" s="12">
        <v>71530</v>
      </c>
      <c r="F110" s="5">
        <v>44340</v>
      </c>
      <c r="G110" s="12">
        <v>48430</v>
      </c>
      <c r="H110" s="12">
        <v>577</v>
      </c>
      <c r="I110" s="12">
        <v>49007</v>
      </c>
      <c r="K110" s="5">
        <v>43612</v>
      </c>
      <c r="L110" s="5">
        <v>44340</v>
      </c>
      <c r="M110" s="12">
        <v>-10516</v>
      </c>
      <c r="N110" s="12">
        <v>-5274</v>
      </c>
      <c r="O110" s="12">
        <v>-15790</v>
      </c>
      <c r="P110" s="9">
        <v>-0.1784005700132324</v>
      </c>
      <c r="Q110" s="9">
        <v>-0.90138437873867716</v>
      </c>
      <c r="R110" s="13">
        <v>-0.24368412117844962</v>
      </c>
    </row>
    <row r="111" spans="1:18" x14ac:dyDescent="0.2">
      <c r="A111" s="5">
        <v>43610</v>
      </c>
      <c r="B111" s="12">
        <v>67206</v>
      </c>
      <c r="C111" s="12">
        <v>1396</v>
      </c>
      <c r="D111" s="12">
        <v>68602</v>
      </c>
      <c r="F111" s="5">
        <v>44341</v>
      </c>
      <c r="G111" s="12">
        <v>56509</v>
      </c>
      <c r="H111" s="12">
        <v>6337</v>
      </c>
      <c r="I111" s="12">
        <v>62846</v>
      </c>
      <c r="K111" s="5">
        <v>43613</v>
      </c>
      <c r="L111" s="5">
        <v>44341</v>
      </c>
      <c r="M111" s="12">
        <v>-3531</v>
      </c>
      <c r="N111" s="12">
        <v>-91</v>
      </c>
      <c r="O111" s="12">
        <v>-3622</v>
      </c>
      <c r="P111" s="9">
        <v>-5.8810792804796841E-2</v>
      </c>
      <c r="Q111" s="9">
        <v>-1.4156813939016799E-2</v>
      </c>
      <c r="R111" s="13">
        <v>-5.4492387314196256E-2</v>
      </c>
    </row>
    <row r="112" spans="1:18" x14ac:dyDescent="0.2">
      <c r="A112" s="5">
        <v>43611</v>
      </c>
      <c r="B112" s="12">
        <v>57611</v>
      </c>
      <c r="C112" s="12">
        <v>471</v>
      </c>
      <c r="D112" s="12">
        <v>58082</v>
      </c>
      <c r="F112" s="5">
        <v>44342</v>
      </c>
      <c r="G112" s="12">
        <v>56678</v>
      </c>
      <c r="H112" s="12">
        <v>6559</v>
      </c>
      <c r="I112" s="12">
        <v>63237</v>
      </c>
      <c r="K112" s="5">
        <v>43614</v>
      </c>
      <c r="L112" s="5">
        <v>44342</v>
      </c>
      <c r="M112" s="12">
        <v>-5775</v>
      </c>
      <c r="N112" s="12">
        <v>571</v>
      </c>
      <c r="O112" s="12">
        <v>-5204</v>
      </c>
      <c r="P112" s="9">
        <v>-9.2469537091893095E-2</v>
      </c>
      <c r="Q112" s="9">
        <v>9.5357381429525656E-2</v>
      </c>
      <c r="R112" s="13">
        <v>-7.6036294034277696E-2</v>
      </c>
    </row>
    <row r="113" spans="1:18" x14ac:dyDescent="0.2">
      <c r="A113" s="5">
        <v>43612</v>
      </c>
      <c r="B113" s="12">
        <v>58946</v>
      </c>
      <c r="C113" s="12">
        <v>5851</v>
      </c>
      <c r="D113" s="12">
        <v>64797</v>
      </c>
      <c r="F113" s="5">
        <v>44343</v>
      </c>
      <c r="G113" s="12">
        <v>55850</v>
      </c>
      <c r="H113" s="12">
        <v>6309</v>
      </c>
      <c r="I113" s="12">
        <v>62159</v>
      </c>
      <c r="K113" s="5">
        <v>43615</v>
      </c>
      <c r="L113" s="5">
        <v>44343</v>
      </c>
      <c r="M113" s="12">
        <v>1889</v>
      </c>
      <c r="N113" s="12">
        <v>5667</v>
      </c>
      <c r="O113" s="12">
        <v>7556</v>
      </c>
      <c r="P113" s="9">
        <v>3.5006764144474678E-2</v>
      </c>
      <c r="Q113" s="9">
        <v>8.8271028037383186</v>
      </c>
      <c r="R113" s="13">
        <v>0.13838067505448426</v>
      </c>
    </row>
    <row r="114" spans="1:18" x14ac:dyDescent="0.2">
      <c r="A114" s="5">
        <v>43613</v>
      </c>
      <c r="B114" s="12">
        <v>60040</v>
      </c>
      <c r="C114" s="12">
        <v>6428</v>
      </c>
      <c r="D114" s="12">
        <v>66468</v>
      </c>
      <c r="F114" s="5">
        <v>44344</v>
      </c>
      <c r="G114" s="12">
        <v>61272</v>
      </c>
      <c r="H114" s="12">
        <v>5737</v>
      </c>
      <c r="I114" s="12">
        <v>67009</v>
      </c>
      <c r="K114" s="5">
        <v>43616</v>
      </c>
      <c r="L114" s="5">
        <v>44344</v>
      </c>
      <c r="M114" s="12">
        <v>385</v>
      </c>
      <c r="N114" s="12">
        <v>1332</v>
      </c>
      <c r="O114" s="12">
        <v>1717</v>
      </c>
      <c r="P114" s="9">
        <v>6.3231888580486117E-3</v>
      </c>
      <c r="Q114" s="9">
        <v>0.30238365493757091</v>
      </c>
      <c r="R114" s="13">
        <v>2.6297249280156754E-2</v>
      </c>
    </row>
    <row r="115" spans="1:18" x14ac:dyDescent="0.2">
      <c r="A115" s="5">
        <v>43614</v>
      </c>
      <c r="B115" s="12">
        <v>62453</v>
      </c>
      <c r="C115" s="12">
        <v>5988</v>
      </c>
      <c r="D115" s="12">
        <v>68441</v>
      </c>
      <c r="F115" s="5">
        <v>44345</v>
      </c>
      <c r="G115" s="12">
        <v>61336</v>
      </c>
      <c r="H115" s="12">
        <v>1279</v>
      </c>
      <c r="I115" s="12">
        <v>62615</v>
      </c>
      <c r="K115" s="5">
        <v>43617</v>
      </c>
      <c r="L115" s="5">
        <v>44345</v>
      </c>
      <c r="M115" s="12">
        <v>515</v>
      </c>
      <c r="N115" s="12">
        <v>-28</v>
      </c>
      <c r="O115" s="12">
        <v>487</v>
      </c>
      <c r="P115" s="9">
        <v>8.4674701172291478E-3</v>
      </c>
      <c r="Q115" s="9">
        <v>-2.1423106350420773E-2</v>
      </c>
      <c r="R115" s="13">
        <v>7.8386556785989825E-3</v>
      </c>
    </row>
    <row r="116" spans="1:18" x14ac:dyDescent="0.2">
      <c r="A116" s="5">
        <v>43615</v>
      </c>
      <c r="B116" s="12">
        <v>53961</v>
      </c>
      <c r="C116" s="12">
        <v>642</v>
      </c>
      <c r="D116" s="12">
        <v>54603</v>
      </c>
      <c r="F116" s="5">
        <v>44346</v>
      </c>
      <c r="G116" s="12">
        <v>53102</v>
      </c>
      <c r="H116" s="12">
        <v>403</v>
      </c>
      <c r="I116" s="12">
        <v>53505</v>
      </c>
      <c r="K116" s="5">
        <v>43618</v>
      </c>
      <c r="L116" s="5">
        <v>44346</v>
      </c>
      <c r="M116" s="12">
        <v>-8056</v>
      </c>
      <c r="N116" s="12">
        <v>-219</v>
      </c>
      <c r="O116" s="12">
        <v>-8275</v>
      </c>
      <c r="P116" s="9">
        <v>-0.13172438601654735</v>
      </c>
      <c r="Q116" s="9">
        <v>-0.35209003215434087</v>
      </c>
      <c r="R116" s="13">
        <v>-0.13394302363224342</v>
      </c>
    </row>
    <row r="117" spans="1:18" x14ac:dyDescent="0.2">
      <c r="A117" s="5">
        <v>43616</v>
      </c>
      <c r="B117" s="12">
        <v>60887</v>
      </c>
      <c r="C117" s="12">
        <v>4405</v>
      </c>
      <c r="D117" s="12">
        <v>65292</v>
      </c>
      <c r="F117" s="5">
        <v>44347</v>
      </c>
      <c r="G117" s="12">
        <v>55460</v>
      </c>
      <c r="H117" s="12">
        <v>6058</v>
      </c>
      <c r="I117" s="12">
        <v>61518</v>
      </c>
      <c r="K117" s="5">
        <v>43619</v>
      </c>
      <c r="L117" s="5">
        <v>44347</v>
      </c>
      <c r="M117" s="12">
        <f t="shared" ref="M117:O117" si="4">G117-B120</f>
        <v>-4606</v>
      </c>
      <c r="N117" s="12">
        <f t="shared" si="4"/>
        <v>117</v>
      </c>
      <c r="O117" s="12">
        <f t="shared" si="4"/>
        <v>-4489</v>
      </c>
      <c r="P117" s="9">
        <f t="shared" ref="P117:R117" si="5">G117/B120-1</f>
        <v>-7.6682316118935834E-2</v>
      </c>
      <c r="Q117" s="9">
        <f t="shared" si="5"/>
        <v>1.9693654266958349E-2</v>
      </c>
      <c r="R117" s="13">
        <f t="shared" si="5"/>
        <v>-6.8007938551971736E-2</v>
      </c>
    </row>
    <row r="118" spans="1:18" x14ac:dyDescent="0.2">
      <c r="A118" s="5">
        <v>43617</v>
      </c>
      <c r="B118" s="12">
        <v>60821</v>
      </c>
      <c r="C118" s="12">
        <v>1307</v>
      </c>
      <c r="D118" s="12">
        <v>62128</v>
      </c>
      <c r="F118" s="5"/>
      <c r="G118" s="12"/>
      <c r="H118" s="12"/>
      <c r="I118" s="12"/>
      <c r="L118" s="5"/>
      <c r="M118" s="12"/>
      <c r="N118" s="12"/>
      <c r="O118" s="12"/>
      <c r="P118" s="9"/>
      <c r="Q118" s="9"/>
      <c r="R118" s="13"/>
    </row>
    <row r="119" spans="1:18" x14ac:dyDescent="0.2">
      <c r="A119" s="5">
        <v>43618</v>
      </c>
      <c r="B119" s="12">
        <v>61158</v>
      </c>
      <c r="C119" s="12">
        <v>622</v>
      </c>
      <c r="D119" s="12">
        <v>61780</v>
      </c>
      <c r="F119" s="5"/>
      <c r="G119" s="12"/>
      <c r="H119" s="12"/>
      <c r="I119" s="12"/>
      <c r="K119" s="5"/>
      <c r="L119" s="5"/>
      <c r="M119" s="12"/>
      <c r="N119" s="12"/>
      <c r="O119" s="12"/>
      <c r="P119" s="9"/>
      <c r="Q119" s="9"/>
      <c r="R119" s="13"/>
    </row>
    <row r="120" spans="1:18" x14ac:dyDescent="0.2">
      <c r="A120" s="5">
        <v>43619</v>
      </c>
      <c r="B120" s="12">
        <v>60066</v>
      </c>
      <c r="C120" s="12">
        <v>5941</v>
      </c>
      <c r="D120" s="12">
        <v>66007</v>
      </c>
      <c r="F120" s="5"/>
      <c r="G120" s="12"/>
      <c r="H120" s="12"/>
      <c r="I120" s="12"/>
      <c r="K120" s="5"/>
      <c r="L120" s="5"/>
      <c r="M120" s="12"/>
      <c r="N120" s="12"/>
      <c r="O120" s="12"/>
      <c r="P120" s="9"/>
      <c r="Q120" s="9"/>
      <c r="R120" s="13"/>
    </row>
    <row r="121" spans="1:18" x14ac:dyDescent="0.2">
      <c r="A121" s="5"/>
      <c r="B121" s="12"/>
      <c r="C121" s="12"/>
      <c r="D121" s="12"/>
      <c r="F121" s="5"/>
      <c r="G121" s="12"/>
      <c r="H121" s="12"/>
      <c r="I121" s="12"/>
      <c r="K121" s="5"/>
      <c r="L121" s="5"/>
      <c r="M121" s="12"/>
      <c r="N121" s="12"/>
      <c r="O121" s="12"/>
      <c r="P121" s="9"/>
      <c r="Q121" s="9"/>
      <c r="R121" s="13"/>
    </row>
  </sheetData>
  <mergeCells count="11">
    <mergeCell ref="A85:A86"/>
    <mergeCell ref="F85:F86"/>
    <mergeCell ref="K85:L86"/>
    <mergeCell ref="A47:A48"/>
    <mergeCell ref="F47:F48"/>
    <mergeCell ref="K47:L48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9"/>
  <dimension ref="A1:R121"/>
  <sheetViews>
    <sheetView zoomScale="80" zoomScaleNormal="8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140625" customWidth="1"/>
    <col min="6" max="6" width="28.5703125" bestFit="1" customWidth="1"/>
    <col min="7" max="7" width="11.85546875" customWidth="1"/>
    <col min="8" max="8" width="7.42578125" bestFit="1" customWidth="1"/>
    <col min="9" max="9" width="15.85546875" bestFit="1" customWidth="1"/>
    <col min="10" max="10" width="0.85546875" customWidth="1"/>
    <col min="11" max="12" width="24.5703125" bestFit="1" customWidth="1"/>
    <col min="13" max="13" width="11.5703125" customWidth="1"/>
    <col min="14" max="14" width="7.42578125" bestFit="1" customWidth="1"/>
    <col min="15" max="15" width="15.85546875" bestFit="1" customWidth="1"/>
    <col min="16" max="16" width="11.5703125" customWidth="1"/>
    <col min="17" max="17" width="6.140625" bestFit="1" customWidth="1"/>
    <col min="18" max="18" width="15.85546875" style="10" bestFit="1" customWidth="1"/>
  </cols>
  <sheetData>
    <row r="1" spans="1:18" ht="15.75" x14ac:dyDescent="0.25">
      <c r="A1" s="11" t="s">
        <v>57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4" t="s">
        <v>47</v>
      </c>
      <c r="B6" s="25"/>
      <c r="C6" s="25"/>
      <c r="D6" s="25"/>
      <c r="E6" s="17"/>
      <c r="F6" s="17"/>
      <c r="G6" s="17"/>
    </row>
    <row r="7" spans="1:18" ht="15" x14ac:dyDescent="0.2">
      <c r="A7" s="24" t="s">
        <v>48</v>
      </c>
      <c r="B7" s="25"/>
      <c r="C7" s="25"/>
    </row>
    <row r="9" spans="1:18" ht="12.95" customHeight="1" x14ac:dyDescent="0.2">
      <c r="A9" s="26" t="s">
        <v>1</v>
      </c>
      <c r="B9" s="6"/>
      <c r="C9" s="6"/>
      <c r="D9" s="3"/>
      <c r="F9" s="26" t="s">
        <v>1</v>
      </c>
      <c r="G9" s="6"/>
      <c r="H9" s="6"/>
      <c r="I9" s="3"/>
      <c r="K9" s="26" t="s">
        <v>3</v>
      </c>
      <c r="L9" s="26"/>
      <c r="M9" s="6"/>
      <c r="N9" s="6"/>
      <c r="O9" s="3"/>
      <c r="P9" s="15"/>
      <c r="Q9" s="6"/>
      <c r="R9" s="3"/>
    </row>
    <row r="10" spans="1:18" ht="25.5" x14ac:dyDescent="0.2">
      <c r="A10" s="27"/>
      <c r="B10" s="8" t="s">
        <v>38</v>
      </c>
      <c r="C10" s="4" t="s">
        <v>2</v>
      </c>
      <c r="D10" s="4" t="s">
        <v>0</v>
      </c>
      <c r="F10" s="27"/>
      <c r="G10" s="8" t="s">
        <v>38</v>
      </c>
      <c r="H10" s="4" t="s">
        <v>2</v>
      </c>
      <c r="I10" s="4" t="s">
        <v>0</v>
      </c>
      <c r="K10" s="27"/>
      <c r="L10" s="27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43586</v>
      </c>
      <c r="B11" s="12">
        <v>115063</v>
      </c>
      <c r="C11" s="12">
        <v>3467</v>
      </c>
      <c r="D11" s="12">
        <v>118530</v>
      </c>
      <c r="F11" s="5">
        <v>44317</v>
      </c>
      <c r="G11" s="12">
        <v>86347</v>
      </c>
      <c r="H11" s="12">
        <v>1043</v>
      </c>
      <c r="I11" s="12">
        <v>87390</v>
      </c>
      <c r="K11" s="5">
        <v>43589</v>
      </c>
      <c r="L11" s="5">
        <v>44317</v>
      </c>
      <c r="M11" s="12">
        <v>-17739</v>
      </c>
      <c r="N11" s="12">
        <v>-262</v>
      </c>
      <c r="O11" s="12">
        <v>-18001</v>
      </c>
      <c r="P11" s="9">
        <v>-0.17042637818726825</v>
      </c>
      <c r="Q11" s="9">
        <v>-0.20076628352490422</v>
      </c>
      <c r="R11" s="13">
        <v>-0.17080206089704053</v>
      </c>
    </row>
    <row r="12" spans="1:18" x14ac:dyDescent="0.2">
      <c r="A12" s="5">
        <v>43587</v>
      </c>
      <c r="B12" s="12">
        <v>115036</v>
      </c>
      <c r="C12" s="12">
        <v>5471</v>
      </c>
      <c r="D12" s="12">
        <v>120507</v>
      </c>
      <c r="F12" s="5">
        <v>44318</v>
      </c>
      <c r="G12" s="12">
        <v>66164</v>
      </c>
      <c r="H12" s="12">
        <v>273</v>
      </c>
      <c r="I12" s="12">
        <v>66437</v>
      </c>
      <c r="K12" s="5">
        <v>43590</v>
      </c>
      <c r="L12" s="5">
        <v>44318</v>
      </c>
      <c r="M12" s="12">
        <v>-15342</v>
      </c>
      <c r="N12" s="12">
        <v>-298</v>
      </c>
      <c r="O12" s="12">
        <v>-15640</v>
      </c>
      <c r="P12" s="9">
        <v>-0.18823154123622798</v>
      </c>
      <c r="Q12" s="9">
        <v>-0.52189141856392296</v>
      </c>
      <c r="R12" s="13">
        <v>-0.19055277361501999</v>
      </c>
    </row>
    <row r="13" spans="1:18" x14ac:dyDescent="0.2">
      <c r="A13" s="5">
        <v>43588</v>
      </c>
      <c r="B13" s="12">
        <v>122348</v>
      </c>
      <c r="C13" s="12">
        <v>5286</v>
      </c>
      <c r="D13" s="12">
        <v>127634</v>
      </c>
      <c r="F13" s="5">
        <v>44319</v>
      </c>
      <c r="G13" s="12">
        <v>103355</v>
      </c>
      <c r="H13" s="12">
        <v>4765</v>
      </c>
      <c r="I13" s="12">
        <v>108120</v>
      </c>
      <c r="K13" s="5">
        <v>43591</v>
      </c>
      <c r="L13" s="5">
        <v>44319</v>
      </c>
      <c r="M13" s="12">
        <v>-4240</v>
      </c>
      <c r="N13" s="12">
        <v>-536</v>
      </c>
      <c r="O13" s="12">
        <v>-4776</v>
      </c>
      <c r="P13" s="9">
        <v>-3.9407035642920252E-2</v>
      </c>
      <c r="Q13" s="9">
        <v>-0.10111299754763248</v>
      </c>
      <c r="R13" s="13">
        <v>-4.2304421768707523E-2</v>
      </c>
    </row>
    <row r="14" spans="1:18" x14ac:dyDescent="0.2">
      <c r="A14" s="5">
        <v>43589</v>
      </c>
      <c r="B14" s="12">
        <v>104086</v>
      </c>
      <c r="C14" s="12">
        <v>1305</v>
      </c>
      <c r="D14" s="12">
        <v>105391</v>
      </c>
      <c r="F14" s="5">
        <v>44320</v>
      </c>
      <c r="G14" s="12">
        <v>101781</v>
      </c>
      <c r="H14" s="12">
        <v>5241</v>
      </c>
      <c r="I14" s="12">
        <v>107022</v>
      </c>
      <c r="K14" s="5">
        <v>43592</v>
      </c>
      <c r="L14" s="5">
        <v>44320</v>
      </c>
      <c r="M14" s="12">
        <v>-9829</v>
      </c>
      <c r="N14" s="12">
        <v>98</v>
      </c>
      <c r="O14" s="12">
        <v>-9731</v>
      </c>
      <c r="P14" s="9">
        <v>-8.8065585521010625E-2</v>
      </c>
      <c r="Q14" s="9">
        <v>1.9055026249270801E-2</v>
      </c>
      <c r="R14" s="13">
        <v>-8.334689472647383E-2</v>
      </c>
    </row>
    <row r="15" spans="1:18" x14ac:dyDescent="0.2">
      <c r="A15" s="5">
        <v>43590</v>
      </c>
      <c r="B15" s="12">
        <v>81506</v>
      </c>
      <c r="C15" s="12">
        <v>571</v>
      </c>
      <c r="D15" s="12">
        <v>82077</v>
      </c>
      <c r="F15" s="5">
        <v>44321</v>
      </c>
      <c r="G15" s="12">
        <v>103451</v>
      </c>
      <c r="H15" s="12">
        <v>5223</v>
      </c>
      <c r="I15" s="12">
        <v>108674</v>
      </c>
      <c r="K15" s="5">
        <v>43593</v>
      </c>
      <c r="L15" s="5">
        <v>44321</v>
      </c>
      <c r="M15" s="12">
        <v>-5831</v>
      </c>
      <c r="N15" s="12">
        <v>257</v>
      </c>
      <c r="O15" s="12">
        <v>-5574</v>
      </c>
      <c r="P15" s="9">
        <v>-5.335736900861987E-2</v>
      </c>
      <c r="Q15" s="9">
        <v>5.1751913008457606E-2</v>
      </c>
      <c r="R15" s="13">
        <v>-4.8788600238078517E-2</v>
      </c>
    </row>
    <row r="16" spans="1:18" x14ac:dyDescent="0.2">
      <c r="A16" s="5">
        <v>43591</v>
      </c>
      <c r="B16" s="12">
        <v>107595</v>
      </c>
      <c r="C16" s="12">
        <v>5301</v>
      </c>
      <c r="D16" s="12">
        <v>112896</v>
      </c>
      <c r="F16" s="5">
        <v>44322</v>
      </c>
      <c r="G16" s="12">
        <v>101981</v>
      </c>
      <c r="H16" s="12">
        <v>5234</v>
      </c>
      <c r="I16" s="12">
        <v>107215</v>
      </c>
      <c r="K16" s="5">
        <v>43594</v>
      </c>
      <c r="L16" s="5">
        <v>44322</v>
      </c>
      <c r="M16" s="12">
        <v>-10383</v>
      </c>
      <c r="N16" s="12">
        <v>64</v>
      </c>
      <c r="O16" s="12">
        <v>-10319</v>
      </c>
      <c r="P16" s="9">
        <v>-9.2405040760385915E-2</v>
      </c>
      <c r="Q16" s="9">
        <v>1.2379110251450776E-2</v>
      </c>
      <c r="R16" s="13">
        <v>-8.7795871832831329E-2</v>
      </c>
    </row>
    <row r="17" spans="1:18" x14ac:dyDescent="0.2">
      <c r="A17" s="5">
        <v>43592</v>
      </c>
      <c r="B17" s="12">
        <v>111610</v>
      </c>
      <c r="C17" s="12">
        <v>5143</v>
      </c>
      <c r="D17" s="12">
        <v>116753</v>
      </c>
      <c r="F17" s="5">
        <v>44323</v>
      </c>
      <c r="G17" s="12">
        <v>109502</v>
      </c>
      <c r="H17" s="12">
        <v>4727</v>
      </c>
      <c r="I17" s="12">
        <v>114229</v>
      </c>
      <c r="K17" s="5">
        <v>43595</v>
      </c>
      <c r="L17" s="5">
        <v>44323</v>
      </c>
      <c r="M17" s="12">
        <v>-9930</v>
      </c>
      <c r="N17" s="12">
        <v>-249</v>
      </c>
      <c r="O17" s="12">
        <v>-10179</v>
      </c>
      <c r="P17" s="9">
        <v>-8.3143546118293221E-2</v>
      </c>
      <c r="Q17" s="9">
        <v>-5.0040192926045002E-2</v>
      </c>
      <c r="R17" s="13">
        <v>-8.1819497138447717E-2</v>
      </c>
    </row>
    <row r="18" spans="1:18" x14ac:dyDescent="0.2">
      <c r="A18" s="5">
        <v>43593</v>
      </c>
      <c r="B18" s="12">
        <v>109282</v>
      </c>
      <c r="C18" s="12">
        <v>4966</v>
      </c>
      <c r="D18" s="12">
        <v>114248</v>
      </c>
      <c r="F18" s="5">
        <v>44324</v>
      </c>
      <c r="G18" s="12">
        <v>100129</v>
      </c>
      <c r="H18" s="12">
        <v>1189</v>
      </c>
      <c r="I18" s="12">
        <v>101318</v>
      </c>
      <c r="K18" s="5">
        <v>43596</v>
      </c>
      <c r="L18" s="5">
        <v>44324</v>
      </c>
      <c r="M18" s="12">
        <v>1042</v>
      </c>
      <c r="N18" s="12">
        <v>-78</v>
      </c>
      <c r="O18" s="12">
        <v>964</v>
      </c>
      <c r="P18" s="9">
        <v>1.0516011182092555E-2</v>
      </c>
      <c r="Q18" s="9">
        <v>-6.1562746645619559E-2</v>
      </c>
      <c r="R18" s="13">
        <v>9.6059947784841171E-3</v>
      </c>
    </row>
    <row r="19" spans="1:18" x14ac:dyDescent="0.2">
      <c r="A19" s="5">
        <v>43594</v>
      </c>
      <c r="B19" s="12">
        <v>112364</v>
      </c>
      <c r="C19" s="12">
        <v>5170</v>
      </c>
      <c r="D19" s="12">
        <v>117534</v>
      </c>
      <c r="F19" s="5">
        <v>44325</v>
      </c>
      <c r="G19" s="12">
        <v>84357</v>
      </c>
      <c r="H19" s="12">
        <v>315</v>
      </c>
      <c r="I19" s="12">
        <v>84672</v>
      </c>
      <c r="K19" s="5">
        <v>43597</v>
      </c>
      <c r="L19" s="5">
        <v>44325</v>
      </c>
      <c r="M19" s="12">
        <v>-303</v>
      </c>
      <c r="N19" s="12">
        <v>-243</v>
      </c>
      <c r="O19" s="12">
        <v>-546</v>
      </c>
      <c r="P19" s="9">
        <v>-3.5790219702338533E-3</v>
      </c>
      <c r="Q19" s="9">
        <v>-0.43548387096774188</v>
      </c>
      <c r="R19" s="13">
        <v>-6.4070970921635828E-3</v>
      </c>
    </row>
    <row r="20" spans="1:18" x14ac:dyDescent="0.2">
      <c r="A20" s="5">
        <v>43595</v>
      </c>
      <c r="B20" s="12">
        <v>119432</v>
      </c>
      <c r="C20" s="12">
        <v>4976</v>
      </c>
      <c r="D20" s="12">
        <v>124408</v>
      </c>
      <c r="F20" s="5">
        <v>44326</v>
      </c>
      <c r="G20" s="12">
        <v>96379</v>
      </c>
      <c r="H20" s="12">
        <v>4753</v>
      </c>
      <c r="I20" s="12">
        <v>101132</v>
      </c>
      <c r="K20" s="5">
        <v>43598</v>
      </c>
      <c r="L20" s="5">
        <v>44326</v>
      </c>
      <c r="M20" s="12">
        <v>-11071</v>
      </c>
      <c r="N20" s="12">
        <v>-421</v>
      </c>
      <c r="O20" s="12">
        <v>-11492</v>
      </c>
      <c r="P20" s="9">
        <v>-0.10303396928804098</v>
      </c>
      <c r="Q20" s="9">
        <v>-8.1368380363355253E-2</v>
      </c>
      <c r="R20" s="13">
        <v>-0.10203864185253586</v>
      </c>
    </row>
    <row r="21" spans="1:18" x14ac:dyDescent="0.2">
      <c r="A21" s="5">
        <v>43596</v>
      </c>
      <c r="B21" s="12">
        <v>99087</v>
      </c>
      <c r="C21" s="12">
        <v>1267</v>
      </c>
      <c r="D21" s="12">
        <v>100354</v>
      </c>
      <c r="F21" s="5">
        <v>44327</v>
      </c>
      <c r="G21" s="12">
        <v>100347</v>
      </c>
      <c r="H21" s="12">
        <v>5204</v>
      </c>
      <c r="I21" s="12">
        <v>105551</v>
      </c>
      <c r="K21" s="5">
        <v>43599</v>
      </c>
      <c r="L21" s="5">
        <v>44327</v>
      </c>
      <c r="M21" s="12">
        <v>-9253</v>
      </c>
      <c r="N21" s="12">
        <v>-277</v>
      </c>
      <c r="O21" s="12">
        <v>-9530</v>
      </c>
      <c r="P21" s="9">
        <v>-8.4425182481751793E-2</v>
      </c>
      <c r="Q21" s="9">
        <v>-5.0538222952016043E-2</v>
      </c>
      <c r="R21" s="13">
        <v>-8.2811237302421792E-2</v>
      </c>
    </row>
    <row r="22" spans="1:18" x14ac:dyDescent="0.2">
      <c r="A22" s="5">
        <v>43597</v>
      </c>
      <c r="B22" s="12">
        <v>84660</v>
      </c>
      <c r="C22" s="12">
        <v>558</v>
      </c>
      <c r="D22" s="12">
        <v>85218</v>
      </c>
      <c r="F22" s="5">
        <v>44328</v>
      </c>
      <c r="G22" s="12">
        <v>115217</v>
      </c>
      <c r="H22" s="12">
        <v>5146</v>
      </c>
      <c r="I22" s="12">
        <v>120363</v>
      </c>
      <c r="K22" s="5">
        <v>43600</v>
      </c>
      <c r="L22" s="5">
        <v>44328</v>
      </c>
      <c r="M22" s="12">
        <v>4634</v>
      </c>
      <c r="N22" s="12">
        <v>-502</v>
      </c>
      <c r="O22" s="12">
        <v>4132</v>
      </c>
      <c r="P22" s="9">
        <v>4.1905175298192265E-2</v>
      </c>
      <c r="Q22" s="9">
        <v>-8.8881019830028274E-2</v>
      </c>
      <c r="R22" s="13">
        <v>3.5549896327141672E-2</v>
      </c>
    </row>
    <row r="23" spans="1:18" x14ac:dyDescent="0.2">
      <c r="A23" s="5">
        <v>43598</v>
      </c>
      <c r="B23" s="12">
        <v>107450</v>
      </c>
      <c r="C23" s="12">
        <v>5174</v>
      </c>
      <c r="D23" s="12">
        <v>112624</v>
      </c>
      <c r="F23" s="5">
        <v>44329</v>
      </c>
      <c r="G23" s="12">
        <v>70349</v>
      </c>
      <c r="H23" s="12">
        <v>412</v>
      </c>
      <c r="I23" s="12">
        <v>70761</v>
      </c>
      <c r="K23" s="5">
        <v>43601</v>
      </c>
      <c r="L23" s="5">
        <v>44329</v>
      </c>
      <c r="M23" s="12">
        <v>-44196</v>
      </c>
      <c r="N23" s="12">
        <v>-5022</v>
      </c>
      <c r="O23" s="12">
        <v>-49218</v>
      </c>
      <c r="P23" s="9">
        <v>-0.38583962634772362</v>
      </c>
      <c r="Q23" s="9">
        <v>-0.92418108207581895</v>
      </c>
      <c r="R23" s="13">
        <v>-0.41022178881304228</v>
      </c>
    </row>
    <row r="24" spans="1:18" x14ac:dyDescent="0.2">
      <c r="A24" s="5">
        <v>43599</v>
      </c>
      <c r="B24" s="12">
        <v>109600</v>
      </c>
      <c r="C24" s="12">
        <v>5481</v>
      </c>
      <c r="D24" s="12">
        <v>115081</v>
      </c>
      <c r="F24" s="5">
        <v>44330</v>
      </c>
      <c r="G24" s="12">
        <v>94562</v>
      </c>
      <c r="H24" s="12">
        <v>2932</v>
      </c>
      <c r="I24" s="12">
        <v>97494</v>
      </c>
      <c r="K24" s="5">
        <v>43602</v>
      </c>
      <c r="L24" s="5">
        <v>44330</v>
      </c>
      <c r="M24" s="12">
        <v>-23088</v>
      </c>
      <c r="N24" s="12">
        <v>-2397</v>
      </c>
      <c r="O24" s="12">
        <v>-25485</v>
      </c>
      <c r="P24" s="9">
        <v>-0.19624309392265193</v>
      </c>
      <c r="Q24" s="9">
        <v>-0.44980296490898852</v>
      </c>
      <c r="R24" s="13">
        <v>-0.20723050276876542</v>
      </c>
    </row>
    <row r="25" spans="1:18" x14ac:dyDescent="0.2">
      <c r="A25" s="5">
        <v>43600</v>
      </c>
      <c r="B25" s="12">
        <v>110583</v>
      </c>
      <c r="C25" s="12">
        <v>5648</v>
      </c>
      <c r="D25" s="12">
        <v>116231</v>
      </c>
      <c r="F25" s="5">
        <v>44331</v>
      </c>
      <c r="G25" s="12">
        <v>81498</v>
      </c>
      <c r="H25" s="12">
        <v>1018</v>
      </c>
      <c r="I25" s="12">
        <v>82516</v>
      </c>
      <c r="K25" s="5">
        <v>43603</v>
      </c>
      <c r="L25" s="5">
        <v>44331</v>
      </c>
      <c r="M25" s="12">
        <v>-18967</v>
      </c>
      <c r="N25" s="12">
        <v>-309</v>
      </c>
      <c r="O25" s="12">
        <v>-19276</v>
      </c>
      <c r="P25" s="9">
        <v>-0.18879211665754247</v>
      </c>
      <c r="Q25" s="9">
        <v>-0.23285606631499622</v>
      </c>
      <c r="R25" s="13">
        <v>-0.1893665513989311</v>
      </c>
    </row>
    <row r="26" spans="1:18" x14ac:dyDescent="0.2">
      <c r="A26" s="5">
        <v>43601</v>
      </c>
      <c r="B26" s="12">
        <v>114545</v>
      </c>
      <c r="C26" s="12">
        <v>5434</v>
      </c>
      <c r="D26" s="12">
        <v>119979</v>
      </c>
      <c r="F26" s="5">
        <v>44332</v>
      </c>
      <c r="G26" s="12">
        <v>68884</v>
      </c>
      <c r="H26" s="12">
        <v>351</v>
      </c>
      <c r="I26" s="12">
        <v>69235</v>
      </c>
      <c r="K26" s="5">
        <v>43604</v>
      </c>
      <c r="L26" s="5">
        <v>44332</v>
      </c>
      <c r="M26" s="12">
        <v>-10031</v>
      </c>
      <c r="N26" s="12">
        <v>-268</v>
      </c>
      <c r="O26" s="12">
        <v>-10299</v>
      </c>
      <c r="P26" s="9">
        <v>-0.12711144902743454</v>
      </c>
      <c r="Q26" s="9">
        <v>-0.43295638126009695</v>
      </c>
      <c r="R26" s="13">
        <v>-0.12949178967485608</v>
      </c>
    </row>
    <row r="27" spans="1:18" x14ac:dyDescent="0.2">
      <c r="A27" s="5">
        <v>43602</v>
      </c>
      <c r="B27" s="12">
        <v>117650</v>
      </c>
      <c r="C27" s="12">
        <v>5329</v>
      </c>
      <c r="D27" s="12">
        <v>122979</v>
      </c>
      <c r="F27" s="5">
        <v>44333</v>
      </c>
      <c r="G27" s="12">
        <v>98086</v>
      </c>
      <c r="H27" s="12">
        <v>4872</v>
      </c>
      <c r="I27" s="12">
        <v>102958</v>
      </c>
      <c r="K27" s="5">
        <v>43605</v>
      </c>
      <c r="L27" s="5">
        <v>44333</v>
      </c>
      <c r="M27" s="12">
        <v>-8091</v>
      </c>
      <c r="N27" s="12">
        <v>-336</v>
      </c>
      <c r="O27" s="12">
        <v>-8427</v>
      </c>
      <c r="P27" s="9">
        <v>-7.6202944140444706E-2</v>
      </c>
      <c r="Q27" s="9">
        <v>-6.4516129032258118E-2</v>
      </c>
      <c r="R27" s="13">
        <v>-7.5656506710957472E-2</v>
      </c>
    </row>
    <row r="28" spans="1:18" x14ac:dyDescent="0.2">
      <c r="A28" s="5">
        <v>43603</v>
      </c>
      <c r="B28" s="12">
        <v>100465</v>
      </c>
      <c r="C28" s="12">
        <v>1327</v>
      </c>
      <c r="D28" s="12">
        <v>101792</v>
      </c>
      <c r="F28" s="5">
        <v>44334</v>
      </c>
      <c r="G28" s="12">
        <v>101591</v>
      </c>
      <c r="H28" s="12">
        <v>5086</v>
      </c>
      <c r="I28" s="12">
        <v>106677</v>
      </c>
      <c r="K28" s="5">
        <v>43606</v>
      </c>
      <c r="L28" s="5">
        <v>44334</v>
      </c>
      <c r="M28" s="12">
        <v>-8322</v>
      </c>
      <c r="N28" s="12">
        <v>-480</v>
      </c>
      <c r="O28" s="12">
        <v>-8802</v>
      </c>
      <c r="P28" s="9">
        <v>-7.5714428684505064E-2</v>
      </c>
      <c r="Q28" s="9">
        <v>-8.6237872799137638E-2</v>
      </c>
      <c r="R28" s="13">
        <v>-7.6221650689735743E-2</v>
      </c>
    </row>
    <row r="29" spans="1:18" x14ac:dyDescent="0.2">
      <c r="A29" s="5">
        <v>43604</v>
      </c>
      <c r="B29" s="12">
        <v>78915</v>
      </c>
      <c r="C29" s="12">
        <v>619</v>
      </c>
      <c r="D29" s="12">
        <v>79534</v>
      </c>
      <c r="F29" s="5">
        <v>44335</v>
      </c>
      <c r="G29" s="12">
        <v>100314</v>
      </c>
      <c r="H29" s="12">
        <v>4513</v>
      </c>
      <c r="I29" s="12">
        <v>104827</v>
      </c>
      <c r="K29" s="5">
        <v>43607</v>
      </c>
      <c r="L29" s="5">
        <v>44335</v>
      </c>
      <c r="M29" s="12">
        <v>-13239</v>
      </c>
      <c r="N29" s="12">
        <v>-931</v>
      </c>
      <c r="O29" s="12">
        <v>-14170</v>
      </c>
      <c r="P29" s="9">
        <v>-0.11658872949195531</v>
      </c>
      <c r="Q29" s="9">
        <v>-0.17101396032329175</v>
      </c>
      <c r="R29" s="13">
        <v>-0.11907863223442605</v>
      </c>
    </row>
    <row r="30" spans="1:18" x14ac:dyDescent="0.2">
      <c r="A30" s="5">
        <v>43605</v>
      </c>
      <c r="B30" s="12">
        <v>106177</v>
      </c>
      <c r="C30" s="12">
        <v>5208</v>
      </c>
      <c r="D30" s="12">
        <v>111385</v>
      </c>
      <c r="F30" s="5">
        <v>44336</v>
      </c>
      <c r="G30" s="12">
        <v>106541</v>
      </c>
      <c r="H30" s="12">
        <v>5230</v>
      </c>
      <c r="I30" s="12">
        <v>111771</v>
      </c>
      <c r="K30" s="5">
        <v>43608</v>
      </c>
      <c r="L30" s="5">
        <v>44336</v>
      </c>
      <c r="M30" s="12">
        <v>-8173</v>
      </c>
      <c r="N30" s="12">
        <v>-109</v>
      </c>
      <c r="O30" s="12">
        <v>-8282</v>
      </c>
      <c r="P30" s="9">
        <v>-7.12467527939048E-2</v>
      </c>
      <c r="Q30" s="9">
        <v>-2.0415808203783525E-2</v>
      </c>
      <c r="R30" s="13">
        <v>-6.89861977626548E-2</v>
      </c>
    </row>
    <row r="31" spans="1:18" x14ac:dyDescent="0.2">
      <c r="A31" s="5">
        <v>43606</v>
      </c>
      <c r="B31" s="12">
        <v>109913</v>
      </c>
      <c r="C31" s="12">
        <v>5566</v>
      </c>
      <c r="D31" s="12">
        <v>115479</v>
      </c>
      <c r="F31" s="5">
        <v>44337</v>
      </c>
      <c r="G31" s="12">
        <v>111128</v>
      </c>
      <c r="H31" s="12">
        <v>4929</v>
      </c>
      <c r="I31" s="12">
        <v>116057</v>
      </c>
      <c r="K31" s="5">
        <v>43609</v>
      </c>
      <c r="L31" s="5">
        <v>44337</v>
      </c>
      <c r="M31" s="12">
        <v>-11406</v>
      </c>
      <c r="N31" s="12">
        <v>-195</v>
      </c>
      <c r="O31" s="12">
        <v>-11601</v>
      </c>
      <c r="P31" s="9">
        <v>-9.3084368420193631E-2</v>
      </c>
      <c r="Q31" s="9">
        <v>-3.8056206088992961E-2</v>
      </c>
      <c r="R31" s="13">
        <v>-9.0875620799323209E-2</v>
      </c>
    </row>
    <row r="32" spans="1:18" x14ac:dyDescent="0.2">
      <c r="A32" s="5">
        <v>43607</v>
      </c>
      <c r="B32" s="12">
        <v>113553</v>
      </c>
      <c r="C32" s="12">
        <v>5444</v>
      </c>
      <c r="D32" s="12">
        <v>118997</v>
      </c>
      <c r="F32" s="5">
        <v>44338</v>
      </c>
      <c r="G32" s="12">
        <v>97872</v>
      </c>
      <c r="H32" s="12">
        <v>1087</v>
      </c>
      <c r="I32" s="12">
        <v>98959</v>
      </c>
      <c r="K32" s="5">
        <v>43610</v>
      </c>
      <c r="L32" s="5">
        <v>44338</v>
      </c>
      <c r="M32" s="12">
        <v>-4607</v>
      </c>
      <c r="N32" s="12">
        <v>-239</v>
      </c>
      <c r="O32" s="12">
        <v>-4846</v>
      </c>
      <c r="P32" s="9">
        <v>-4.4955551869163446E-2</v>
      </c>
      <c r="Q32" s="9">
        <v>-0.18024132730015086</v>
      </c>
      <c r="R32" s="13">
        <v>-4.6683685756948146E-2</v>
      </c>
    </row>
    <row r="33" spans="1:18" x14ac:dyDescent="0.2">
      <c r="A33" s="5">
        <v>43608</v>
      </c>
      <c r="B33" s="12">
        <v>114714</v>
      </c>
      <c r="C33" s="12">
        <v>5339</v>
      </c>
      <c r="D33" s="12">
        <v>120053</v>
      </c>
      <c r="F33" s="5">
        <v>44339</v>
      </c>
      <c r="G33" s="12">
        <v>79396</v>
      </c>
      <c r="H33" s="12">
        <v>259</v>
      </c>
      <c r="I33" s="12">
        <v>79655</v>
      </c>
      <c r="K33" s="5">
        <v>43611</v>
      </c>
      <c r="L33" s="5">
        <v>44339</v>
      </c>
      <c r="M33" s="12">
        <v>-9017</v>
      </c>
      <c r="N33" s="12">
        <v>-284</v>
      </c>
      <c r="O33" s="12">
        <v>-9301</v>
      </c>
      <c r="P33" s="9">
        <v>-0.10198726431633354</v>
      </c>
      <c r="Q33" s="9">
        <v>-0.52302025782688766</v>
      </c>
      <c r="R33" s="13">
        <v>-0.10455730923153017</v>
      </c>
    </row>
    <row r="34" spans="1:18" x14ac:dyDescent="0.2">
      <c r="A34" s="5">
        <v>43609</v>
      </c>
      <c r="B34" s="12">
        <v>122534</v>
      </c>
      <c r="C34" s="12">
        <v>5124</v>
      </c>
      <c r="D34" s="12">
        <v>127658</v>
      </c>
      <c r="F34" s="5">
        <v>44340</v>
      </c>
      <c r="G34" s="12">
        <v>72036</v>
      </c>
      <c r="H34" s="12">
        <v>479</v>
      </c>
      <c r="I34" s="12">
        <v>72515</v>
      </c>
      <c r="K34" s="5">
        <v>43612</v>
      </c>
      <c r="L34" s="5">
        <v>44340</v>
      </c>
      <c r="M34" s="12">
        <v>-39086</v>
      </c>
      <c r="N34" s="12">
        <v>-4764</v>
      </c>
      <c r="O34" s="12">
        <v>-43850</v>
      </c>
      <c r="P34" s="9">
        <v>-0.35173952952610643</v>
      </c>
      <c r="Q34" s="9">
        <v>-0.90864009155063896</v>
      </c>
      <c r="R34" s="13">
        <v>-0.37683152150560739</v>
      </c>
    </row>
    <row r="35" spans="1:18" x14ac:dyDescent="0.2">
      <c r="A35" s="5">
        <v>43610</v>
      </c>
      <c r="B35" s="12">
        <v>102479</v>
      </c>
      <c r="C35" s="12">
        <v>1326</v>
      </c>
      <c r="D35" s="12">
        <v>103805</v>
      </c>
      <c r="F35" s="5">
        <v>44341</v>
      </c>
      <c r="G35" s="12">
        <v>105511</v>
      </c>
      <c r="H35" s="12">
        <v>5200</v>
      </c>
      <c r="I35" s="12">
        <v>110711</v>
      </c>
      <c r="K35" s="5">
        <v>43613</v>
      </c>
      <c r="L35" s="5">
        <v>44341</v>
      </c>
      <c r="M35" s="12">
        <v>-6775</v>
      </c>
      <c r="N35" s="12">
        <v>-259</v>
      </c>
      <c r="O35" s="12">
        <v>-7034</v>
      </c>
      <c r="P35" s="9">
        <v>-6.0336996597972981E-2</v>
      </c>
      <c r="Q35" s="9">
        <v>-4.7444586920681431E-2</v>
      </c>
      <c r="R35" s="13">
        <v>-5.9739267060172407E-2</v>
      </c>
    </row>
    <row r="36" spans="1:18" x14ac:dyDescent="0.2">
      <c r="A36" s="5">
        <v>43611</v>
      </c>
      <c r="B36" s="12">
        <v>88413</v>
      </c>
      <c r="C36" s="12">
        <v>543</v>
      </c>
      <c r="D36" s="12">
        <v>88956</v>
      </c>
      <c r="F36" s="5">
        <v>44342</v>
      </c>
      <c r="G36" s="12">
        <v>105947</v>
      </c>
      <c r="H36" s="12">
        <v>5600</v>
      </c>
      <c r="I36" s="12">
        <v>111547</v>
      </c>
      <c r="K36" s="5">
        <v>43614</v>
      </c>
      <c r="L36" s="5">
        <v>44342</v>
      </c>
      <c r="M36" s="12">
        <v>-17282</v>
      </c>
      <c r="N36" s="12">
        <v>165</v>
      </c>
      <c r="O36" s="12">
        <v>-17117</v>
      </c>
      <c r="P36" s="9">
        <v>-0.14024296228972077</v>
      </c>
      <c r="Q36" s="9">
        <v>3.0358785648574083E-2</v>
      </c>
      <c r="R36" s="13">
        <v>-0.13303643598831061</v>
      </c>
    </row>
    <row r="37" spans="1:18" x14ac:dyDescent="0.2">
      <c r="A37" s="5">
        <v>43612</v>
      </c>
      <c r="B37" s="12">
        <v>111122</v>
      </c>
      <c r="C37" s="12">
        <v>5243</v>
      </c>
      <c r="D37" s="12">
        <v>116365</v>
      </c>
      <c r="F37" s="5">
        <v>44343</v>
      </c>
      <c r="G37" s="12">
        <v>108848</v>
      </c>
      <c r="H37" s="12">
        <v>5515</v>
      </c>
      <c r="I37" s="12">
        <v>114363</v>
      </c>
      <c r="K37" s="5">
        <v>43615</v>
      </c>
      <c r="L37" s="5">
        <v>44343</v>
      </c>
      <c r="M37" s="12">
        <v>21495</v>
      </c>
      <c r="N37" s="12">
        <v>4883</v>
      </c>
      <c r="O37" s="12">
        <v>26378</v>
      </c>
      <c r="P37" s="9">
        <v>0.24607054136663886</v>
      </c>
      <c r="Q37" s="9">
        <v>7.7262658227848107</v>
      </c>
      <c r="R37" s="13">
        <v>0.29980110246064662</v>
      </c>
    </row>
    <row r="38" spans="1:18" x14ac:dyDescent="0.2">
      <c r="A38" s="5">
        <v>43613</v>
      </c>
      <c r="B38" s="12">
        <v>112286</v>
      </c>
      <c r="C38" s="12">
        <v>5459</v>
      </c>
      <c r="D38" s="12">
        <v>117745</v>
      </c>
      <c r="F38" s="5">
        <v>44344</v>
      </c>
      <c r="G38" s="12">
        <v>115175</v>
      </c>
      <c r="H38" s="12">
        <v>5122</v>
      </c>
      <c r="I38" s="12">
        <v>120297</v>
      </c>
      <c r="K38" s="5">
        <v>43616</v>
      </c>
      <c r="L38" s="5">
        <v>44344</v>
      </c>
      <c r="M38" s="12">
        <v>14523</v>
      </c>
      <c r="N38" s="12">
        <v>1845</v>
      </c>
      <c r="O38" s="12">
        <v>16368</v>
      </c>
      <c r="P38" s="9">
        <v>0.14428923419306128</v>
      </c>
      <c r="Q38" s="9">
        <v>0.56301495270064073</v>
      </c>
      <c r="R38" s="13">
        <v>0.15749213405305551</v>
      </c>
    </row>
    <row r="39" spans="1:18" x14ac:dyDescent="0.2">
      <c r="A39" s="5">
        <v>43614</v>
      </c>
      <c r="B39" s="12">
        <v>123229</v>
      </c>
      <c r="C39" s="12">
        <v>5435</v>
      </c>
      <c r="D39" s="12">
        <v>128664</v>
      </c>
      <c r="F39" s="5">
        <v>44345</v>
      </c>
      <c r="G39" s="12">
        <v>101440</v>
      </c>
      <c r="H39" s="12">
        <v>1249</v>
      </c>
      <c r="I39" s="12">
        <v>102689</v>
      </c>
      <c r="K39" s="5">
        <v>43617</v>
      </c>
      <c r="L39" s="5">
        <v>44345</v>
      </c>
      <c r="M39" s="12">
        <v>5743</v>
      </c>
      <c r="N39" s="12">
        <v>-61</v>
      </c>
      <c r="O39" s="12">
        <v>5682</v>
      </c>
      <c r="P39" s="9">
        <v>6.0012330585075713E-2</v>
      </c>
      <c r="Q39" s="9">
        <v>-4.6564885496183206E-2</v>
      </c>
      <c r="R39" s="13">
        <v>5.8573092663416038E-2</v>
      </c>
    </row>
    <row r="40" spans="1:18" x14ac:dyDescent="0.2">
      <c r="A40" s="5">
        <v>43615</v>
      </c>
      <c r="B40" s="12">
        <v>87353</v>
      </c>
      <c r="C40" s="12">
        <v>632</v>
      </c>
      <c r="D40" s="12">
        <v>87985</v>
      </c>
      <c r="F40" s="5">
        <v>44346</v>
      </c>
      <c r="G40" s="12">
        <v>85244</v>
      </c>
      <c r="H40" s="12">
        <v>371</v>
      </c>
      <c r="I40" s="12">
        <v>85615</v>
      </c>
      <c r="K40" s="5">
        <v>43618</v>
      </c>
      <c r="L40" s="5">
        <v>44346</v>
      </c>
      <c r="M40" s="12">
        <v>-7881</v>
      </c>
      <c r="N40" s="12">
        <v>-334</v>
      </c>
      <c r="O40" s="12">
        <v>-8215</v>
      </c>
      <c r="P40" s="9">
        <v>-8.4628187919463138E-2</v>
      </c>
      <c r="Q40" s="9">
        <v>-0.47375886524822697</v>
      </c>
      <c r="R40" s="13">
        <v>-8.7551955664499581E-2</v>
      </c>
    </row>
    <row r="41" spans="1:18" x14ac:dyDescent="0.2">
      <c r="A41" s="5">
        <v>43616</v>
      </c>
      <c r="B41" s="12">
        <v>100652</v>
      </c>
      <c r="C41" s="12">
        <v>3277</v>
      </c>
      <c r="D41" s="12">
        <v>103929</v>
      </c>
      <c r="F41" s="5">
        <v>44347</v>
      </c>
      <c r="G41" s="12">
        <v>101965</v>
      </c>
      <c r="H41" s="12">
        <v>4977</v>
      </c>
      <c r="I41" s="12">
        <v>106942</v>
      </c>
      <c r="K41" s="5">
        <v>43619</v>
      </c>
      <c r="L41" s="5">
        <v>44347</v>
      </c>
      <c r="M41" s="12">
        <f t="shared" ref="M41:O41" si="0">G41-B44</f>
        <v>-9237</v>
      </c>
      <c r="N41" s="12">
        <f t="shared" si="0"/>
        <v>-230</v>
      </c>
      <c r="O41" s="12">
        <f t="shared" si="0"/>
        <v>-9467</v>
      </c>
      <c r="P41" s="9">
        <f t="shared" ref="P41:R41" si="1">G41/B44-1</f>
        <v>-8.3065052786820415E-2</v>
      </c>
      <c r="Q41" s="9">
        <f t="shared" si="1"/>
        <v>-4.4171307854810826E-2</v>
      </c>
      <c r="R41" s="13">
        <f t="shared" si="1"/>
        <v>-8.1325327079521337E-2</v>
      </c>
    </row>
    <row r="42" spans="1:18" x14ac:dyDescent="0.2">
      <c r="A42" s="5">
        <v>43617</v>
      </c>
      <c r="B42" s="12">
        <v>95697</v>
      </c>
      <c r="C42" s="12">
        <v>1310</v>
      </c>
      <c r="D42" s="12">
        <v>97007</v>
      </c>
      <c r="F42" s="5"/>
      <c r="G42" s="12"/>
      <c r="H42" s="12"/>
      <c r="I42" s="12"/>
      <c r="L42" s="5"/>
      <c r="M42" s="12"/>
      <c r="N42" s="12"/>
      <c r="O42" s="12"/>
      <c r="P42" s="9"/>
      <c r="Q42" s="9"/>
      <c r="R42" s="13"/>
    </row>
    <row r="43" spans="1:18" x14ac:dyDescent="0.2">
      <c r="A43" s="5">
        <v>43618</v>
      </c>
      <c r="B43" s="12">
        <v>93125</v>
      </c>
      <c r="C43" s="12">
        <v>705</v>
      </c>
      <c r="D43" s="12">
        <v>93830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5">
        <v>43619</v>
      </c>
      <c r="B44" s="12">
        <v>111202</v>
      </c>
      <c r="C44" s="12">
        <v>5207</v>
      </c>
      <c r="D44" s="12">
        <v>116409</v>
      </c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">
      <c r="A45" s="5"/>
      <c r="B45" s="12"/>
      <c r="C45" s="12"/>
      <c r="D45" s="12"/>
      <c r="F45" s="5"/>
      <c r="G45" s="12"/>
      <c r="H45" s="12"/>
      <c r="I45" s="12"/>
      <c r="K45" s="5"/>
      <c r="L45" s="5"/>
      <c r="M45" s="12"/>
      <c r="N45" s="12"/>
      <c r="O45" s="12"/>
      <c r="P45" s="9"/>
      <c r="Q45" s="9"/>
      <c r="R45" s="13"/>
    </row>
    <row r="46" spans="1:18" x14ac:dyDescent="0.2">
      <c r="A46" s="1"/>
      <c r="B46" s="2"/>
      <c r="C46" s="2"/>
      <c r="D46" s="2"/>
      <c r="F46" s="1"/>
      <c r="G46" s="2"/>
      <c r="H46" s="2"/>
      <c r="I46" s="2"/>
    </row>
    <row r="47" spans="1:18" ht="12.95" customHeight="1" x14ac:dyDescent="0.2">
      <c r="A47" s="26" t="s">
        <v>39</v>
      </c>
      <c r="B47" s="6"/>
      <c r="C47" s="6"/>
      <c r="D47" s="3"/>
      <c r="F47" s="26" t="s">
        <v>39</v>
      </c>
      <c r="G47" s="6"/>
      <c r="H47" s="6"/>
      <c r="I47" s="3"/>
      <c r="K47" s="26" t="s">
        <v>40</v>
      </c>
      <c r="L47" s="26"/>
      <c r="M47" s="6"/>
      <c r="N47" s="6"/>
      <c r="O47" s="3"/>
      <c r="P47" s="6"/>
      <c r="Q47" s="6"/>
      <c r="R47" s="3"/>
    </row>
    <row r="48" spans="1:18" ht="25.5" x14ac:dyDescent="0.2">
      <c r="A48" s="27"/>
      <c r="B48" s="8" t="s">
        <v>38</v>
      </c>
      <c r="C48" s="4" t="s">
        <v>2</v>
      </c>
      <c r="D48" s="4" t="s">
        <v>0</v>
      </c>
      <c r="F48" s="27"/>
      <c r="G48" s="8" t="s">
        <v>38</v>
      </c>
      <c r="H48" s="4" t="s">
        <v>2</v>
      </c>
      <c r="I48" s="4" t="s">
        <v>0</v>
      </c>
      <c r="K48" s="27"/>
      <c r="L48" s="27"/>
      <c r="M48" s="8" t="s">
        <v>38</v>
      </c>
      <c r="N48" s="4" t="s">
        <v>2</v>
      </c>
      <c r="O48" s="4" t="s">
        <v>0</v>
      </c>
      <c r="P48" s="8" t="s">
        <v>38</v>
      </c>
      <c r="Q48" s="4" t="s">
        <v>2</v>
      </c>
      <c r="R48" s="4" t="s">
        <v>0</v>
      </c>
    </row>
    <row r="49" spans="1:18" x14ac:dyDescent="0.2">
      <c r="A49" s="5">
        <v>43586</v>
      </c>
      <c r="B49" s="12">
        <v>59809</v>
      </c>
      <c r="C49" s="12">
        <v>1807</v>
      </c>
      <c r="D49" s="12">
        <v>61616</v>
      </c>
      <c r="F49" s="5">
        <v>44317</v>
      </c>
      <c r="G49" s="12">
        <v>43951</v>
      </c>
      <c r="H49" s="12">
        <v>586</v>
      </c>
      <c r="I49" s="12">
        <v>44537</v>
      </c>
      <c r="K49" s="5">
        <v>43589</v>
      </c>
      <c r="L49" s="5">
        <v>44317</v>
      </c>
      <c r="M49" s="12">
        <v>-10164</v>
      </c>
      <c r="N49" s="12">
        <v>-101</v>
      </c>
      <c r="O49" s="12">
        <v>-10265</v>
      </c>
      <c r="P49" s="9">
        <v>-0.18782223043518431</v>
      </c>
      <c r="Q49" s="9">
        <v>-0.14701601164483258</v>
      </c>
      <c r="R49" s="13">
        <v>-0.1873106820918945</v>
      </c>
    </row>
    <row r="50" spans="1:18" x14ac:dyDescent="0.2">
      <c r="A50" s="5">
        <v>43587</v>
      </c>
      <c r="B50" s="12">
        <v>60457</v>
      </c>
      <c r="C50" s="12">
        <v>2835</v>
      </c>
      <c r="D50" s="12">
        <v>63292</v>
      </c>
      <c r="F50" s="5">
        <v>44318</v>
      </c>
      <c r="G50" s="12">
        <v>32535</v>
      </c>
      <c r="H50" s="12">
        <v>136</v>
      </c>
      <c r="I50" s="12">
        <v>32671</v>
      </c>
      <c r="K50" s="5">
        <v>43590</v>
      </c>
      <c r="L50" s="5">
        <v>44318</v>
      </c>
      <c r="M50" s="12">
        <v>-9256</v>
      </c>
      <c r="N50" s="12">
        <v>-196</v>
      </c>
      <c r="O50" s="12">
        <v>-9452</v>
      </c>
      <c r="P50" s="9">
        <v>-0.22148309444617265</v>
      </c>
      <c r="Q50" s="9">
        <v>-0.59036144578313254</v>
      </c>
      <c r="R50" s="13">
        <v>-0.22439047551219049</v>
      </c>
    </row>
    <row r="51" spans="1:18" x14ac:dyDescent="0.2">
      <c r="A51" s="5">
        <v>43588</v>
      </c>
      <c r="B51" s="12">
        <v>64269</v>
      </c>
      <c r="C51" s="12">
        <v>2834</v>
      </c>
      <c r="D51" s="12">
        <v>67103</v>
      </c>
      <c r="F51" s="5">
        <v>44319</v>
      </c>
      <c r="G51" s="12">
        <v>52626</v>
      </c>
      <c r="H51" s="12">
        <v>2481</v>
      </c>
      <c r="I51" s="12">
        <v>55107</v>
      </c>
      <c r="K51" s="5">
        <v>43591</v>
      </c>
      <c r="L51" s="5">
        <v>44319</v>
      </c>
      <c r="M51" s="12">
        <v>-3456</v>
      </c>
      <c r="N51" s="12">
        <v>-247</v>
      </c>
      <c r="O51" s="12">
        <v>-3703</v>
      </c>
      <c r="P51" s="9">
        <v>-6.1624050497485872E-2</v>
      </c>
      <c r="Q51" s="9">
        <v>-9.0542521994134928E-2</v>
      </c>
      <c r="R51" s="13">
        <v>-6.2965482060874045E-2</v>
      </c>
    </row>
    <row r="52" spans="1:18" x14ac:dyDescent="0.2">
      <c r="A52" s="5">
        <v>43589</v>
      </c>
      <c r="B52" s="12">
        <v>54115</v>
      </c>
      <c r="C52" s="12">
        <v>687</v>
      </c>
      <c r="D52" s="12">
        <v>54802</v>
      </c>
      <c r="F52" s="5">
        <v>44320</v>
      </c>
      <c r="G52" s="12">
        <v>52334</v>
      </c>
      <c r="H52" s="12">
        <v>2715</v>
      </c>
      <c r="I52" s="12">
        <v>55049</v>
      </c>
      <c r="K52" s="5">
        <v>43592</v>
      </c>
      <c r="L52" s="5">
        <v>44320</v>
      </c>
      <c r="M52" s="12">
        <v>-6005</v>
      </c>
      <c r="N52" s="12">
        <v>-3</v>
      </c>
      <c r="O52" s="12">
        <v>-6008</v>
      </c>
      <c r="P52" s="9">
        <v>-0.10293285795094187</v>
      </c>
      <c r="Q52" s="9">
        <v>-1.1037527593819041E-3</v>
      </c>
      <c r="R52" s="13">
        <v>-9.8399855872381536E-2</v>
      </c>
    </row>
    <row r="53" spans="1:18" x14ac:dyDescent="0.2">
      <c r="A53" s="5">
        <v>43590</v>
      </c>
      <c r="B53" s="12">
        <v>41791</v>
      </c>
      <c r="C53" s="12">
        <v>332</v>
      </c>
      <c r="D53" s="12">
        <v>42123</v>
      </c>
      <c r="F53" s="5">
        <v>44321</v>
      </c>
      <c r="G53" s="12">
        <v>53079</v>
      </c>
      <c r="H53" s="12">
        <v>2733</v>
      </c>
      <c r="I53" s="12">
        <v>55812</v>
      </c>
      <c r="K53" s="5">
        <v>43593</v>
      </c>
      <c r="L53" s="5">
        <v>44321</v>
      </c>
      <c r="M53" s="12">
        <v>-3405</v>
      </c>
      <c r="N53" s="12">
        <v>165</v>
      </c>
      <c r="O53" s="12">
        <v>-3240</v>
      </c>
      <c r="P53" s="9">
        <v>-6.0282557892500477E-2</v>
      </c>
      <c r="Q53" s="9">
        <v>6.4252336448598069E-2</v>
      </c>
      <c r="R53" s="13">
        <v>-5.4866896972160184E-2</v>
      </c>
    </row>
    <row r="54" spans="1:18" x14ac:dyDescent="0.2">
      <c r="A54" s="5">
        <v>43591</v>
      </c>
      <c r="B54" s="12">
        <v>56082</v>
      </c>
      <c r="C54" s="12">
        <v>2728</v>
      </c>
      <c r="D54" s="12">
        <v>58810</v>
      </c>
      <c r="F54" s="5">
        <v>44322</v>
      </c>
      <c r="G54" s="12">
        <v>52376</v>
      </c>
      <c r="H54" s="12">
        <v>2711</v>
      </c>
      <c r="I54" s="12">
        <v>55087</v>
      </c>
      <c r="K54" s="5">
        <v>43594</v>
      </c>
      <c r="L54" s="5">
        <v>44322</v>
      </c>
      <c r="M54" s="12">
        <v>-6127</v>
      </c>
      <c r="N54" s="12">
        <v>12</v>
      </c>
      <c r="O54" s="12">
        <v>-6115</v>
      </c>
      <c r="P54" s="9">
        <v>-0.10472967198263339</v>
      </c>
      <c r="Q54" s="9">
        <v>4.4460911448684914E-3</v>
      </c>
      <c r="R54" s="13">
        <v>-9.9915035456357604E-2</v>
      </c>
    </row>
    <row r="55" spans="1:18" x14ac:dyDescent="0.2">
      <c r="A55" s="5">
        <v>43592</v>
      </c>
      <c r="B55" s="12">
        <v>58339</v>
      </c>
      <c r="C55" s="12">
        <v>2718</v>
      </c>
      <c r="D55" s="12">
        <v>61057</v>
      </c>
      <c r="F55" s="5">
        <v>44323</v>
      </c>
      <c r="G55" s="12">
        <v>56805</v>
      </c>
      <c r="H55" s="12">
        <v>2485</v>
      </c>
      <c r="I55" s="12">
        <v>59290</v>
      </c>
      <c r="K55" s="5">
        <v>43595</v>
      </c>
      <c r="L55" s="5">
        <v>44323</v>
      </c>
      <c r="M55" s="12">
        <v>-5281</v>
      </c>
      <c r="N55" s="12">
        <v>-162</v>
      </c>
      <c r="O55" s="12">
        <v>-5443</v>
      </c>
      <c r="P55" s="9">
        <v>-8.5059433688754349E-2</v>
      </c>
      <c r="Q55" s="9">
        <v>-6.1201360030222918E-2</v>
      </c>
      <c r="R55" s="13">
        <v>-8.4083852131061398E-2</v>
      </c>
    </row>
    <row r="56" spans="1:18" x14ac:dyDescent="0.2">
      <c r="A56" s="5">
        <v>43593</v>
      </c>
      <c r="B56" s="12">
        <v>56484</v>
      </c>
      <c r="C56" s="12">
        <v>2568</v>
      </c>
      <c r="D56" s="12">
        <v>59052</v>
      </c>
      <c r="F56" s="5">
        <v>44324</v>
      </c>
      <c r="G56" s="12">
        <v>51727</v>
      </c>
      <c r="H56" s="12">
        <v>659</v>
      </c>
      <c r="I56" s="12">
        <v>52386</v>
      </c>
      <c r="K56" s="5">
        <v>43596</v>
      </c>
      <c r="L56" s="5">
        <v>44324</v>
      </c>
      <c r="M56" s="12">
        <v>412</v>
      </c>
      <c r="N56" s="12">
        <v>-68</v>
      </c>
      <c r="O56" s="12">
        <v>344</v>
      </c>
      <c r="P56" s="9">
        <v>8.0288414693558963E-3</v>
      </c>
      <c r="Q56" s="9">
        <v>-9.3535075653370048E-2</v>
      </c>
      <c r="R56" s="13">
        <v>6.6100457322930684E-3</v>
      </c>
    </row>
    <row r="57" spans="1:18" x14ac:dyDescent="0.2">
      <c r="A57" s="5">
        <v>43594</v>
      </c>
      <c r="B57" s="12">
        <v>58503</v>
      </c>
      <c r="C57" s="12">
        <v>2699</v>
      </c>
      <c r="D57" s="12">
        <v>61202</v>
      </c>
      <c r="F57" s="5">
        <v>44325</v>
      </c>
      <c r="G57" s="12">
        <v>41539</v>
      </c>
      <c r="H57" s="12">
        <v>167</v>
      </c>
      <c r="I57" s="12">
        <v>41706</v>
      </c>
      <c r="K57" s="5">
        <v>43597</v>
      </c>
      <c r="L57" s="5">
        <v>44325</v>
      </c>
      <c r="M57" s="12">
        <v>-2228</v>
      </c>
      <c r="N57" s="12">
        <v>-136</v>
      </c>
      <c r="O57" s="12">
        <v>-2364</v>
      </c>
      <c r="P57" s="9">
        <v>-5.0905933694335936E-2</v>
      </c>
      <c r="Q57" s="9">
        <v>-0.44884488448844884</v>
      </c>
      <c r="R57" s="13">
        <v>-5.3641933287950971E-2</v>
      </c>
    </row>
    <row r="58" spans="1:18" x14ac:dyDescent="0.2">
      <c r="A58" s="5">
        <v>43595</v>
      </c>
      <c r="B58" s="12">
        <v>62086</v>
      </c>
      <c r="C58" s="12">
        <v>2647</v>
      </c>
      <c r="D58" s="12">
        <v>64733</v>
      </c>
      <c r="F58" s="5">
        <v>44326</v>
      </c>
      <c r="G58" s="12">
        <v>49151</v>
      </c>
      <c r="H58" s="12">
        <v>2458</v>
      </c>
      <c r="I58" s="12">
        <v>51609</v>
      </c>
      <c r="K58" s="5">
        <v>43598</v>
      </c>
      <c r="L58" s="5">
        <v>44326</v>
      </c>
      <c r="M58" s="12">
        <v>-7040</v>
      </c>
      <c r="N58" s="12">
        <v>-237</v>
      </c>
      <c r="O58" s="12">
        <v>-7277</v>
      </c>
      <c r="P58" s="9">
        <v>-0.12528696766386072</v>
      </c>
      <c r="Q58" s="9">
        <v>-8.79406307977737E-2</v>
      </c>
      <c r="R58" s="13">
        <v>-0.1235777604184356</v>
      </c>
    </row>
    <row r="59" spans="1:18" x14ac:dyDescent="0.2">
      <c r="A59" s="5">
        <v>43596</v>
      </c>
      <c r="B59" s="12">
        <v>51315</v>
      </c>
      <c r="C59" s="12">
        <v>727</v>
      </c>
      <c r="D59" s="12">
        <v>52042</v>
      </c>
      <c r="F59" s="5">
        <v>44327</v>
      </c>
      <c r="G59" s="12">
        <v>51495</v>
      </c>
      <c r="H59" s="12">
        <v>2750</v>
      </c>
      <c r="I59" s="12">
        <v>54245</v>
      </c>
      <c r="K59" s="5">
        <v>43599</v>
      </c>
      <c r="L59" s="5">
        <v>44327</v>
      </c>
      <c r="M59" s="12">
        <v>-5046</v>
      </c>
      <c r="N59" s="12">
        <v>-139</v>
      </c>
      <c r="O59" s="12">
        <v>-5185</v>
      </c>
      <c r="P59" s="9">
        <v>-8.9244972674696221E-2</v>
      </c>
      <c r="Q59" s="9">
        <v>-4.8113534094842536E-2</v>
      </c>
      <c r="R59" s="13">
        <v>-8.7245498906276309E-2</v>
      </c>
    </row>
    <row r="60" spans="1:18" x14ac:dyDescent="0.2">
      <c r="A60" s="5">
        <v>43597</v>
      </c>
      <c r="B60" s="12">
        <v>43767</v>
      </c>
      <c r="C60" s="12">
        <v>303</v>
      </c>
      <c r="D60" s="12">
        <v>44070</v>
      </c>
      <c r="F60" s="5">
        <v>44328</v>
      </c>
      <c r="G60" s="12">
        <v>59364</v>
      </c>
      <c r="H60" s="12">
        <v>2768</v>
      </c>
      <c r="I60" s="12">
        <v>62132</v>
      </c>
      <c r="K60" s="5">
        <v>43600</v>
      </c>
      <c r="L60" s="5">
        <v>44328</v>
      </c>
      <c r="M60" s="12">
        <v>1374</v>
      </c>
      <c r="N60" s="12">
        <v>-159</v>
      </c>
      <c r="O60" s="12">
        <v>1215</v>
      </c>
      <c r="P60" s="9">
        <v>2.3693740300051669E-2</v>
      </c>
      <c r="Q60" s="9">
        <v>-5.4321831226511796E-2</v>
      </c>
      <c r="R60" s="13">
        <v>1.9945171298652253E-2</v>
      </c>
    </row>
    <row r="61" spans="1:18" x14ac:dyDescent="0.2">
      <c r="A61" s="5">
        <v>43598</v>
      </c>
      <c r="B61" s="12">
        <v>56191</v>
      </c>
      <c r="C61" s="12">
        <v>2695</v>
      </c>
      <c r="D61" s="12">
        <v>58886</v>
      </c>
      <c r="F61" s="5">
        <v>44329</v>
      </c>
      <c r="G61" s="12">
        <v>36932</v>
      </c>
      <c r="H61" s="12">
        <v>191</v>
      </c>
      <c r="I61" s="12">
        <v>37123</v>
      </c>
      <c r="K61" s="5">
        <v>43601</v>
      </c>
      <c r="L61" s="5">
        <v>44329</v>
      </c>
      <c r="M61" s="12">
        <v>-22772</v>
      </c>
      <c r="N61" s="12">
        <v>-2717</v>
      </c>
      <c r="O61" s="12">
        <v>-25489</v>
      </c>
      <c r="P61" s="9">
        <v>-0.38141498057081602</v>
      </c>
      <c r="Q61" s="9">
        <v>-0.93431911966987624</v>
      </c>
      <c r="R61" s="13">
        <v>-0.40709448667986969</v>
      </c>
    </row>
    <row r="62" spans="1:18" x14ac:dyDescent="0.2">
      <c r="A62" s="5">
        <v>43599</v>
      </c>
      <c r="B62" s="12">
        <v>56541</v>
      </c>
      <c r="C62" s="12">
        <v>2889</v>
      </c>
      <c r="D62" s="12">
        <v>59430</v>
      </c>
      <c r="F62" s="5">
        <v>44330</v>
      </c>
      <c r="G62" s="12">
        <v>48586</v>
      </c>
      <c r="H62" s="12">
        <v>1578</v>
      </c>
      <c r="I62" s="12">
        <v>50164</v>
      </c>
      <c r="K62" s="5">
        <v>43602</v>
      </c>
      <c r="L62" s="5">
        <v>44330</v>
      </c>
      <c r="M62" s="12">
        <v>-12622</v>
      </c>
      <c r="N62" s="12">
        <v>-1226</v>
      </c>
      <c r="O62" s="12">
        <v>-13848</v>
      </c>
      <c r="P62" s="9">
        <v>-0.20621487387269632</v>
      </c>
      <c r="Q62" s="9">
        <v>-0.43723252496433662</v>
      </c>
      <c r="R62" s="13">
        <v>-0.21633443729300761</v>
      </c>
    </row>
    <row r="63" spans="1:18" x14ac:dyDescent="0.2">
      <c r="A63" s="5">
        <v>43600</v>
      </c>
      <c r="B63" s="12">
        <v>57990</v>
      </c>
      <c r="C63" s="12">
        <v>2927</v>
      </c>
      <c r="D63" s="12">
        <v>60917</v>
      </c>
      <c r="F63" s="5">
        <v>44331</v>
      </c>
      <c r="G63" s="12">
        <v>41550</v>
      </c>
      <c r="H63" s="12">
        <v>565</v>
      </c>
      <c r="I63" s="12">
        <v>42115</v>
      </c>
      <c r="K63" s="5">
        <v>43603</v>
      </c>
      <c r="L63" s="5">
        <v>44331</v>
      </c>
      <c r="M63" s="12">
        <v>-10153</v>
      </c>
      <c r="N63" s="12">
        <v>-106</v>
      </c>
      <c r="O63" s="12">
        <v>-10259</v>
      </c>
      <c r="P63" s="9">
        <v>-0.19637158385393494</v>
      </c>
      <c r="Q63" s="9">
        <v>-0.15797317436661695</v>
      </c>
      <c r="R63" s="13">
        <v>-0.19587963493336391</v>
      </c>
    </row>
    <row r="64" spans="1:18" x14ac:dyDescent="0.2">
      <c r="A64" s="5">
        <v>43601</v>
      </c>
      <c r="B64" s="12">
        <v>59704</v>
      </c>
      <c r="C64" s="12">
        <v>2908</v>
      </c>
      <c r="D64" s="12">
        <v>62612</v>
      </c>
      <c r="F64" s="5">
        <v>44332</v>
      </c>
      <c r="G64" s="12">
        <v>33109</v>
      </c>
      <c r="H64" s="12">
        <v>217</v>
      </c>
      <c r="I64" s="12">
        <v>33326</v>
      </c>
      <c r="K64" s="5">
        <v>43604</v>
      </c>
      <c r="L64" s="5">
        <v>44332</v>
      </c>
      <c r="M64" s="12">
        <v>-7158</v>
      </c>
      <c r="N64" s="12">
        <v>-145</v>
      </c>
      <c r="O64" s="12">
        <v>-7303</v>
      </c>
      <c r="P64" s="9">
        <v>-0.17776342911068621</v>
      </c>
      <c r="Q64" s="9">
        <v>-0.40055248618784534</v>
      </c>
      <c r="R64" s="13">
        <v>-0.17974845553668561</v>
      </c>
    </row>
    <row r="65" spans="1:18" x14ac:dyDescent="0.2">
      <c r="A65" s="5">
        <v>43602</v>
      </c>
      <c r="B65" s="12">
        <v>61208</v>
      </c>
      <c r="C65" s="12">
        <v>2804</v>
      </c>
      <c r="D65" s="12">
        <v>64012</v>
      </c>
      <c r="F65" s="5">
        <v>44333</v>
      </c>
      <c r="G65" s="12">
        <v>50367</v>
      </c>
      <c r="H65" s="12">
        <v>2546</v>
      </c>
      <c r="I65" s="12">
        <v>52913</v>
      </c>
      <c r="K65" s="5">
        <v>43605</v>
      </c>
      <c r="L65" s="5">
        <v>44333</v>
      </c>
      <c r="M65" s="12">
        <v>-4944</v>
      </c>
      <c r="N65" s="12">
        <v>-170</v>
      </c>
      <c r="O65" s="12">
        <v>-5114</v>
      </c>
      <c r="P65" s="9">
        <v>-8.9385474860335212E-2</v>
      </c>
      <c r="Q65" s="9">
        <v>-6.2592047128129602E-2</v>
      </c>
      <c r="R65" s="13">
        <v>-8.8131387112895698E-2</v>
      </c>
    </row>
    <row r="66" spans="1:18" x14ac:dyDescent="0.2">
      <c r="A66" s="5">
        <v>43603</v>
      </c>
      <c r="B66" s="12">
        <v>51703</v>
      </c>
      <c r="C66" s="12">
        <v>671</v>
      </c>
      <c r="D66" s="12">
        <v>52374</v>
      </c>
      <c r="F66" s="5">
        <v>44334</v>
      </c>
      <c r="G66" s="12">
        <v>52294</v>
      </c>
      <c r="H66" s="12">
        <v>2680</v>
      </c>
      <c r="I66" s="12">
        <v>54974</v>
      </c>
      <c r="K66" s="5">
        <v>43606</v>
      </c>
      <c r="L66" s="5">
        <v>44334</v>
      </c>
      <c r="M66" s="12">
        <v>-5127</v>
      </c>
      <c r="N66" s="12">
        <v>-292</v>
      </c>
      <c r="O66" s="12">
        <v>-5419</v>
      </c>
      <c r="P66" s="9">
        <v>-8.9287891189634427E-2</v>
      </c>
      <c r="Q66" s="9">
        <v>-9.8250336473755029E-2</v>
      </c>
      <c r="R66" s="13">
        <v>-8.9728942095938291E-2</v>
      </c>
    </row>
    <row r="67" spans="1:18" x14ac:dyDescent="0.2">
      <c r="A67" s="5">
        <v>43604</v>
      </c>
      <c r="B67" s="12">
        <v>40267</v>
      </c>
      <c r="C67" s="12">
        <v>362</v>
      </c>
      <c r="D67" s="12">
        <v>40629</v>
      </c>
      <c r="F67" s="5">
        <v>44335</v>
      </c>
      <c r="G67" s="12">
        <v>50772</v>
      </c>
      <c r="H67" s="12">
        <v>2367</v>
      </c>
      <c r="I67" s="12">
        <v>53139</v>
      </c>
      <c r="K67" s="5">
        <v>43607</v>
      </c>
      <c r="L67" s="5">
        <v>44335</v>
      </c>
      <c r="M67" s="12">
        <v>-8610</v>
      </c>
      <c r="N67" s="12">
        <v>-518</v>
      </c>
      <c r="O67" s="12">
        <v>-9128</v>
      </c>
      <c r="P67" s="9">
        <v>-0.14499343235323836</v>
      </c>
      <c r="Q67" s="9">
        <v>-0.17954939341421139</v>
      </c>
      <c r="R67" s="13">
        <v>-0.14659450431207544</v>
      </c>
    </row>
    <row r="68" spans="1:18" x14ac:dyDescent="0.2">
      <c r="A68" s="5">
        <v>43605</v>
      </c>
      <c r="B68" s="12">
        <v>55311</v>
      </c>
      <c r="C68" s="12">
        <v>2716</v>
      </c>
      <c r="D68" s="12">
        <v>58027</v>
      </c>
      <c r="F68" s="5">
        <v>44336</v>
      </c>
      <c r="G68" s="12">
        <v>54673</v>
      </c>
      <c r="H68" s="12">
        <v>2741</v>
      </c>
      <c r="I68" s="12">
        <v>57414</v>
      </c>
      <c r="K68" s="5">
        <v>43608</v>
      </c>
      <c r="L68" s="5">
        <v>44336</v>
      </c>
      <c r="M68" s="12">
        <v>-3989</v>
      </c>
      <c r="N68" s="12">
        <v>-64</v>
      </c>
      <c r="O68" s="12">
        <v>-4053</v>
      </c>
      <c r="P68" s="9">
        <v>-6.7999727251031317E-2</v>
      </c>
      <c r="Q68" s="9">
        <v>-2.2816399286987532E-2</v>
      </c>
      <c r="R68" s="13">
        <v>-6.5937820293816229E-2</v>
      </c>
    </row>
    <row r="69" spans="1:18" x14ac:dyDescent="0.2">
      <c r="A69" s="5">
        <v>43606</v>
      </c>
      <c r="B69" s="12">
        <v>57421</v>
      </c>
      <c r="C69" s="12">
        <v>2972</v>
      </c>
      <c r="D69" s="12">
        <v>60393</v>
      </c>
      <c r="F69" s="5">
        <v>44337</v>
      </c>
      <c r="G69" s="12">
        <v>57200</v>
      </c>
      <c r="H69" s="12">
        <v>2614</v>
      </c>
      <c r="I69" s="12">
        <v>59814</v>
      </c>
      <c r="K69" s="5">
        <v>43609</v>
      </c>
      <c r="L69" s="5">
        <v>44337</v>
      </c>
      <c r="M69" s="12">
        <v>-5933</v>
      </c>
      <c r="N69" s="12">
        <v>-49</v>
      </c>
      <c r="O69" s="12">
        <v>-5982</v>
      </c>
      <c r="P69" s="9">
        <v>-9.3976208955696694E-2</v>
      </c>
      <c r="Q69" s="9">
        <v>-1.8400300413067949E-2</v>
      </c>
      <c r="R69" s="13">
        <v>-9.0917380995805264E-2</v>
      </c>
    </row>
    <row r="70" spans="1:18" x14ac:dyDescent="0.2">
      <c r="A70" s="5">
        <v>43607</v>
      </c>
      <c r="B70" s="12">
        <v>59382</v>
      </c>
      <c r="C70" s="12">
        <v>2885</v>
      </c>
      <c r="D70" s="12">
        <v>62267</v>
      </c>
      <c r="F70" s="5">
        <v>44338</v>
      </c>
      <c r="G70" s="12">
        <v>51809</v>
      </c>
      <c r="H70" s="12">
        <v>597</v>
      </c>
      <c r="I70" s="12">
        <v>52406</v>
      </c>
      <c r="K70" s="5">
        <v>43610</v>
      </c>
      <c r="L70" s="5">
        <v>44338</v>
      </c>
      <c r="M70" s="12">
        <v>-677</v>
      </c>
      <c r="N70" s="12">
        <v>-129</v>
      </c>
      <c r="O70" s="12">
        <v>-806</v>
      </c>
      <c r="P70" s="9">
        <v>-1.2898677742636089E-2</v>
      </c>
      <c r="Q70" s="9">
        <v>-0.1776859504132231</v>
      </c>
      <c r="R70" s="13">
        <v>-1.5146959332481447E-2</v>
      </c>
    </row>
    <row r="71" spans="1:18" x14ac:dyDescent="0.2">
      <c r="A71" s="5">
        <v>43608</v>
      </c>
      <c r="B71" s="12">
        <v>58662</v>
      </c>
      <c r="C71" s="12">
        <v>2805</v>
      </c>
      <c r="D71" s="12">
        <v>61467</v>
      </c>
      <c r="F71" s="5">
        <v>44339</v>
      </c>
      <c r="G71" s="12">
        <v>40842</v>
      </c>
      <c r="H71" s="12">
        <v>154</v>
      </c>
      <c r="I71" s="12">
        <v>40996</v>
      </c>
      <c r="K71" s="5">
        <v>43611</v>
      </c>
      <c r="L71" s="5">
        <v>44339</v>
      </c>
      <c r="M71" s="12">
        <v>-4195</v>
      </c>
      <c r="N71" s="12">
        <v>-138</v>
      </c>
      <c r="O71" s="12">
        <v>-4333</v>
      </c>
      <c r="P71" s="9">
        <v>-9.3145635810555794E-2</v>
      </c>
      <c r="Q71" s="9">
        <v>-0.4726027397260274</v>
      </c>
      <c r="R71" s="13">
        <v>-9.559001963422975E-2</v>
      </c>
    </row>
    <row r="72" spans="1:18" x14ac:dyDescent="0.2">
      <c r="A72" s="5">
        <v>43609</v>
      </c>
      <c r="B72" s="12">
        <v>63133</v>
      </c>
      <c r="C72" s="12">
        <v>2663</v>
      </c>
      <c r="D72" s="12">
        <v>65796</v>
      </c>
      <c r="F72" s="5">
        <v>44340</v>
      </c>
      <c r="G72" s="12">
        <v>33806</v>
      </c>
      <c r="H72" s="12">
        <v>259</v>
      </c>
      <c r="I72" s="12">
        <v>34065</v>
      </c>
      <c r="K72" s="5">
        <v>43612</v>
      </c>
      <c r="L72" s="5">
        <v>44340</v>
      </c>
      <c r="M72" s="12">
        <v>-23890</v>
      </c>
      <c r="N72" s="12">
        <v>-2448</v>
      </c>
      <c r="O72" s="12">
        <v>-26338</v>
      </c>
      <c r="P72" s="9">
        <v>-0.41406683305601777</v>
      </c>
      <c r="Q72" s="9">
        <v>-0.90432212781677135</v>
      </c>
      <c r="R72" s="13">
        <v>-0.43603794513517535</v>
      </c>
    </row>
    <row r="73" spans="1:18" x14ac:dyDescent="0.2">
      <c r="A73" s="5">
        <v>43610</v>
      </c>
      <c r="B73" s="12">
        <v>52486</v>
      </c>
      <c r="C73" s="12">
        <v>726</v>
      </c>
      <c r="D73" s="12">
        <v>53212</v>
      </c>
      <c r="F73" s="5">
        <v>44341</v>
      </c>
      <c r="G73" s="12">
        <v>53927</v>
      </c>
      <c r="H73" s="12">
        <v>2643</v>
      </c>
      <c r="I73" s="12">
        <v>56570</v>
      </c>
      <c r="K73" s="5">
        <v>43613</v>
      </c>
      <c r="L73" s="5">
        <v>44341</v>
      </c>
      <c r="M73" s="12">
        <v>-4077</v>
      </c>
      <c r="N73" s="12">
        <v>-222</v>
      </c>
      <c r="O73" s="12">
        <v>-4299</v>
      </c>
      <c r="P73" s="9">
        <v>-7.0288255982346004E-2</v>
      </c>
      <c r="Q73" s="9">
        <v>-7.7486910994764346E-2</v>
      </c>
      <c r="R73" s="13">
        <v>-7.0627084394355055E-2</v>
      </c>
    </row>
    <row r="74" spans="1:18" x14ac:dyDescent="0.2">
      <c r="A74" s="5">
        <v>43611</v>
      </c>
      <c r="B74" s="12">
        <v>45037</v>
      </c>
      <c r="C74" s="12">
        <v>292</v>
      </c>
      <c r="D74" s="12">
        <v>45329</v>
      </c>
      <c r="F74" s="5">
        <v>44342</v>
      </c>
      <c r="G74" s="12">
        <v>54328</v>
      </c>
      <c r="H74" s="12">
        <v>2961</v>
      </c>
      <c r="I74" s="12">
        <v>57289</v>
      </c>
      <c r="K74" s="5">
        <v>43614</v>
      </c>
      <c r="L74" s="5">
        <v>44342</v>
      </c>
      <c r="M74" s="12">
        <v>-6750</v>
      </c>
      <c r="N74" s="12">
        <v>100</v>
      </c>
      <c r="O74" s="12">
        <v>-6650</v>
      </c>
      <c r="P74" s="9">
        <v>-0.11051442417891877</v>
      </c>
      <c r="Q74" s="9">
        <v>3.4952813701502938E-2</v>
      </c>
      <c r="R74" s="13">
        <v>-0.10400538012793448</v>
      </c>
    </row>
    <row r="75" spans="1:18" x14ac:dyDescent="0.2">
      <c r="A75" s="5">
        <v>43612</v>
      </c>
      <c r="B75" s="12">
        <v>57696</v>
      </c>
      <c r="C75" s="12">
        <v>2707</v>
      </c>
      <c r="D75" s="12">
        <v>60403</v>
      </c>
      <c r="F75" s="5">
        <v>44343</v>
      </c>
      <c r="G75" s="12">
        <v>55864</v>
      </c>
      <c r="H75" s="12">
        <v>2920</v>
      </c>
      <c r="I75" s="12">
        <v>58784</v>
      </c>
      <c r="K75" s="5">
        <v>43615</v>
      </c>
      <c r="L75" s="5">
        <v>44343</v>
      </c>
      <c r="M75" s="12">
        <v>12348</v>
      </c>
      <c r="N75" s="12">
        <v>2609</v>
      </c>
      <c r="O75" s="12">
        <v>14957</v>
      </c>
      <c r="P75" s="9">
        <v>0.28375769831786002</v>
      </c>
      <c r="Q75" s="9">
        <v>8.389067524115756</v>
      </c>
      <c r="R75" s="13">
        <v>0.34127364410066852</v>
      </c>
    </row>
    <row r="76" spans="1:18" x14ac:dyDescent="0.2">
      <c r="A76" s="5">
        <v>43613</v>
      </c>
      <c r="B76" s="12">
        <v>58004</v>
      </c>
      <c r="C76" s="12">
        <v>2865</v>
      </c>
      <c r="D76" s="12">
        <v>60869</v>
      </c>
      <c r="F76" s="5">
        <v>44344</v>
      </c>
      <c r="G76" s="12">
        <v>60650</v>
      </c>
      <c r="H76" s="12">
        <v>2701</v>
      </c>
      <c r="I76" s="12">
        <v>63351</v>
      </c>
      <c r="K76" s="5">
        <v>43616</v>
      </c>
      <c r="L76" s="5">
        <v>44344</v>
      </c>
      <c r="M76" s="12">
        <v>8469</v>
      </c>
      <c r="N76" s="12">
        <v>927</v>
      </c>
      <c r="O76" s="12">
        <v>9396</v>
      </c>
      <c r="P76" s="9">
        <v>0.16230045418830619</v>
      </c>
      <c r="Q76" s="9">
        <v>0.52254791431792569</v>
      </c>
      <c r="R76" s="13">
        <v>0.17414512093411183</v>
      </c>
    </row>
    <row r="77" spans="1:18" x14ac:dyDescent="0.2">
      <c r="A77" s="5">
        <v>43614</v>
      </c>
      <c r="B77" s="12">
        <v>61078</v>
      </c>
      <c r="C77" s="12">
        <v>2861</v>
      </c>
      <c r="D77" s="12">
        <v>63939</v>
      </c>
      <c r="F77" s="5">
        <v>44345</v>
      </c>
      <c r="G77" s="12">
        <v>52497</v>
      </c>
      <c r="H77" s="12">
        <v>667</v>
      </c>
      <c r="I77" s="12">
        <v>53164</v>
      </c>
      <c r="K77" s="5">
        <v>43617</v>
      </c>
      <c r="L77" s="5">
        <v>44345</v>
      </c>
      <c r="M77" s="12">
        <v>2183</v>
      </c>
      <c r="N77" s="12">
        <v>-62</v>
      </c>
      <c r="O77" s="12">
        <v>2121</v>
      </c>
      <c r="P77" s="9">
        <v>4.338752633461862E-2</v>
      </c>
      <c r="Q77" s="9">
        <v>-8.5048010973936883E-2</v>
      </c>
      <c r="R77" s="13">
        <v>4.1553200242932409E-2</v>
      </c>
    </row>
    <row r="78" spans="1:18" x14ac:dyDescent="0.2">
      <c r="A78" s="5">
        <v>43615</v>
      </c>
      <c r="B78" s="12">
        <v>43516</v>
      </c>
      <c r="C78" s="12">
        <v>311</v>
      </c>
      <c r="D78" s="12">
        <v>43827</v>
      </c>
      <c r="F78" s="5">
        <v>44346</v>
      </c>
      <c r="G78" s="12">
        <v>42664</v>
      </c>
      <c r="H78" s="12">
        <v>215</v>
      </c>
      <c r="I78" s="12">
        <v>42879</v>
      </c>
      <c r="K78" s="5">
        <v>43618</v>
      </c>
      <c r="L78" s="5">
        <v>44346</v>
      </c>
      <c r="M78" s="12">
        <v>-5894</v>
      </c>
      <c r="N78" s="12">
        <v>-251</v>
      </c>
      <c r="O78" s="12">
        <v>-6145</v>
      </c>
      <c r="P78" s="9">
        <v>-0.12138061699411018</v>
      </c>
      <c r="Q78" s="9">
        <v>-0.53862660944206009</v>
      </c>
      <c r="R78" s="13">
        <v>-0.12534676892950392</v>
      </c>
    </row>
    <row r="79" spans="1:18" x14ac:dyDescent="0.2">
      <c r="A79" s="5">
        <v>43616</v>
      </c>
      <c r="B79" s="12">
        <v>52181</v>
      </c>
      <c r="C79" s="12">
        <v>1774</v>
      </c>
      <c r="D79" s="12">
        <v>53955</v>
      </c>
      <c r="F79" s="5">
        <v>44347</v>
      </c>
      <c r="G79" s="12">
        <v>52592</v>
      </c>
      <c r="H79" s="12">
        <v>2626</v>
      </c>
      <c r="I79" s="12">
        <v>55218</v>
      </c>
      <c r="K79" s="5">
        <v>43619</v>
      </c>
      <c r="L79" s="5">
        <v>44347</v>
      </c>
      <c r="M79" s="12">
        <f t="shared" ref="M79:O79" si="2">G79-B82</f>
        <v>-6016</v>
      </c>
      <c r="N79" s="12">
        <f t="shared" si="2"/>
        <v>-115</v>
      </c>
      <c r="O79" s="12">
        <f t="shared" si="2"/>
        <v>-6131</v>
      </c>
      <c r="P79" s="9">
        <f t="shared" ref="P79:R79" si="3">G79/B82-1</f>
        <v>-0.10264810264810265</v>
      </c>
      <c r="Q79" s="9">
        <f t="shared" si="3"/>
        <v>-4.1955490696826025E-2</v>
      </c>
      <c r="R79" s="13">
        <f t="shared" si="3"/>
        <v>-9.9936429281650918E-2</v>
      </c>
    </row>
    <row r="80" spans="1:18" x14ac:dyDescent="0.2">
      <c r="A80" s="5">
        <v>43617</v>
      </c>
      <c r="B80" s="12">
        <v>50314</v>
      </c>
      <c r="C80" s="12">
        <v>729</v>
      </c>
      <c r="D80" s="12">
        <v>51043</v>
      </c>
      <c r="F80" s="5"/>
      <c r="G80" s="12"/>
      <c r="H80" s="12"/>
      <c r="I80" s="12"/>
      <c r="L80" s="5"/>
      <c r="M80" s="12"/>
      <c r="N80" s="12"/>
      <c r="O80" s="12"/>
      <c r="P80" s="9"/>
      <c r="Q80" s="9"/>
      <c r="R80" s="13"/>
    </row>
    <row r="81" spans="1:18" x14ac:dyDescent="0.2">
      <c r="A81" s="5">
        <v>43618</v>
      </c>
      <c r="B81" s="12">
        <v>48558</v>
      </c>
      <c r="C81" s="12">
        <v>466</v>
      </c>
      <c r="D81" s="12">
        <v>49024</v>
      </c>
      <c r="F81" s="5"/>
      <c r="G81" s="12"/>
      <c r="H81" s="12"/>
      <c r="I81" s="12"/>
      <c r="K81" s="5"/>
      <c r="L81" s="5"/>
      <c r="M81" s="12"/>
      <c r="N81" s="12"/>
      <c r="O81" s="12"/>
      <c r="P81" s="9"/>
      <c r="Q81" s="9"/>
      <c r="R81" s="13"/>
    </row>
    <row r="82" spans="1:18" x14ac:dyDescent="0.2">
      <c r="A82" s="5">
        <v>43619</v>
      </c>
      <c r="B82" s="12">
        <v>58608</v>
      </c>
      <c r="C82" s="12">
        <v>2741</v>
      </c>
      <c r="D82" s="12">
        <v>61349</v>
      </c>
      <c r="F82" s="5"/>
      <c r="G82" s="12"/>
      <c r="H82" s="12"/>
      <c r="I82" s="12"/>
      <c r="K82" s="5"/>
      <c r="L82" s="5"/>
      <c r="M82" s="12"/>
      <c r="N82" s="12"/>
      <c r="O82" s="12"/>
      <c r="P82" s="9"/>
      <c r="Q82" s="9"/>
      <c r="R82" s="13"/>
    </row>
    <row r="83" spans="1:18" x14ac:dyDescent="0.2">
      <c r="A83" s="5"/>
      <c r="B83" s="12"/>
      <c r="C83" s="12"/>
      <c r="D83" s="12"/>
      <c r="F83" s="5"/>
      <c r="G83" s="2"/>
      <c r="H83" s="2"/>
      <c r="I83" s="2"/>
      <c r="L83" s="5"/>
      <c r="M83" s="2"/>
      <c r="N83" s="2"/>
      <c r="O83" s="2"/>
      <c r="P83" s="2"/>
      <c r="Q83" s="2"/>
      <c r="R83" s="14"/>
    </row>
    <row r="84" spans="1:18" x14ac:dyDescent="0.2">
      <c r="B84" s="2"/>
      <c r="C84" s="2"/>
      <c r="G84" s="2"/>
      <c r="H84" s="2"/>
    </row>
    <row r="85" spans="1:18" ht="12.95" customHeight="1" x14ac:dyDescent="0.2">
      <c r="A85" s="26" t="s">
        <v>41</v>
      </c>
      <c r="B85" s="6"/>
      <c r="C85" s="6"/>
      <c r="D85" s="3"/>
      <c r="F85" s="26" t="s">
        <v>41</v>
      </c>
      <c r="G85" s="6"/>
      <c r="H85" s="6"/>
      <c r="I85" s="3"/>
      <c r="K85" s="26" t="s">
        <v>42</v>
      </c>
      <c r="L85" s="26"/>
      <c r="M85" s="6"/>
      <c r="N85" s="6"/>
      <c r="O85" s="3"/>
      <c r="P85" s="6"/>
      <c r="Q85" s="6"/>
      <c r="R85" s="3"/>
    </row>
    <row r="86" spans="1:18" ht="25.5" x14ac:dyDescent="0.2">
      <c r="A86" s="27"/>
      <c r="B86" s="8" t="s">
        <v>38</v>
      </c>
      <c r="C86" s="4" t="s">
        <v>2</v>
      </c>
      <c r="D86" s="4" t="s">
        <v>0</v>
      </c>
      <c r="F86" s="27"/>
      <c r="G86" s="8" t="s">
        <v>38</v>
      </c>
      <c r="H86" s="4" t="s">
        <v>2</v>
      </c>
      <c r="I86" s="4" t="s">
        <v>0</v>
      </c>
      <c r="K86" s="27"/>
      <c r="L86" s="27"/>
      <c r="M86" s="8" t="s">
        <v>38</v>
      </c>
      <c r="N86" s="4" t="s">
        <v>2</v>
      </c>
      <c r="O86" s="4" t="s">
        <v>0</v>
      </c>
      <c r="P86" s="8" t="s">
        <v>38</v>
      </c>
      <c r="Q86" s="4" t="s">
        <v>2</v>
      </c>
      <c r="R86" s="4" t="s">
        <v>0</v>
      </c>
    </row>
    <row r="87" spans="1:18" x14ac:dyDescent="0.2">
      <c r="A87" s="5">
        <v>43586</v>
      </c>
      <c r="B87" s="12">
        <v>55254</v>
      </c>
      <c r="C87" s="12">
        <v>1660</v>
      </c>
      <c r="D87" s="12">
        <v>56914</v>
      </c>
      <c r="F87" s="5">
        <v>44317</v>
      </c>
      <c r="G87" s="12">
        <v>42396</v>
      </c>
      <c r="H87" s="12">
        <v>457</v>
      </c>
      <c r="I87" s="12">
        <v>42853</v>
      </c>
      <c r="K87" s="5">
        <v>43589</v>
      </c>
      <c r="L87" s="5">
        <v>44317</v>
      </c>
      <c r="M87" s="12">
        <v>-7575</v>
      </c>
      <c r="N87" s="12">
        <v>-161</v>
      </c>
      <c r="O87" s="12">
        <v>-7736</v>
      </c>
      <c r="P87" s="9">
        <v>-0.15158792099417662</v>
      </c>
      <c r="Q87" s="9">
        <v>-0.26051779935275077</v>
      </c>
      <c r="R87" s="13">
        <v>-0.15291861867204337</v>
      </c>
    </row>
    <row r="88" spans="1:18" x14ac:dyDescent="0.2">
      <c r="A88" s="5">
        <v>43587</v>
      </c>
      <c r="B88" s="12">
        <v>54579</v>
      </c>
      <c r="C88" s="12">
        <v>2636</v>
      </c>
      <c r="D88" s="12">
        <v>57215</v>
      </c>
      <c r="F88" s="5">
        <v>44318</v>
      </c>
      <c r="G88" s="12">
        <v>33629</v>
      </c>
      <c r="H88" s="12">
        <v>137</v>
      </c>
      <c r="I88" s="12">
        <v>33766</v>
      </c>
      <c r="K88" s="5">
        <v>43590</v>
      </c>
      <c r="L88" s="5">
        <v>44318</v>
      </c>
      <c r="M88" s="12">
        <v>-6086</v>
      </c>
      <c r="N88" s="12">
        <v>-102</v>
      </c>
      <c r="O88" s="12">
        <v>-6188</v>
      </c>
      <c r="P88" s="9">
        <v>-0.15324184816819841</v>
      </c>
      <c r="Q88" s="9">
        <v>-0.42677824267782427</v>
      </c>
      <c r="R88" s="13">
        <v>-0.15487810982630024</v>
      </c>
    </row>
    <row r="89" spans="1:18" x14ac:dyDescent="0.2">
      <c r="A89" s="5">
        <v>43588</v>
      </c>
      <c r="B89" s="12">
        <v>58079</v>
      </c>
      <c r="C89" s="12">
        <v>2452</v>
      </c>
      <c r="D89" s="12">
        <v>60531</v>
      </c>
      <c r="F89" s="5">
        <v>44319</v>
      </c>
      <c r="G89" s="12">
        <v>50729</v>
      </c>
      <c r="H89" s="12">
        <v>2284</v>
      </c>
      <c r="I89" s="12">
        <v>53013</v>
      </c>
      <c r="K89" s="5">
        <v>43591</v>
      </c>
      <c r="L89" s="5">
        <v>44319</v>
      </c>
      <c r="M89" s="12">
        <v>-784</v>
      </c>
      <c r="N89" s="12">
        <v>-289</v>
      </c>
      <c r="O89" s="12">
        <v>-1073</v>
      </c>
      <c r="P89" s="9">
        <v>-1.5219459165647486E-2</v>
      </c>
      <c r="Q89" s="9">
        <v>-0.11232024873688307</v>
      </c>
      <c r="R89" s="13">
        <v>-1.9838775283807286E-2</v>
      </c>
    </row>
    <row r="90" spans="1:18" x14ac:dyDescent="0.2">
      <c r="A90" s="5">
        <v>43589</v>
      </c>
      <c r="B90" s="12">
        <v>49971</v>
      </c>
      <c r="C90" s="12">
        <v>618</v>
      </c>
      <c r="D90" s="12">
        <v>50589</v>
      </c>
      <c r="F90" s="5">
        <v>44320</v>
      </c>
      <c r="G90" s="12">
        <v>49447</v>
      </c>
      <c r="H90" s="12">
        <v>2526</v>
      </c>
      <c r="I90" s="12">
        <v>51973</v>
      </c>
      <c r="K90" s="5">
        <v>43592</v>
      </c>
      <c r="L90" s="5">
        <v>44320</v>
      </c>
      <c r="M90" s="12">
        <v>-3824</v>
      </c>
      <c r="N90" s="12">
        <v>101</v>
      </c>
      <c r="O90" s="12">
        <v>-3723</v>
      </c>
      <c r="P90" s="9">
        <v>-7.1783897430121479E-2</v>
      </c>
      <c r="Q90" s="9">
        <v>4.1649484536082415E-2</v>
      </c>
      <c r="R90" s="13">
        <v>-6.6845015800057417E-2</v>
      </c>
    </row>
    <row r="91" spans="1:18" x14ac:dyDescent="0.2">
      <c r="A91" s="5">
        <v>43590</v>
      </c>
      <c r="B91" s="12">
        <v>39715</v>
      </c>
      <c r="C91" s="12">
        <v>239</v>
      </c>
      <c r="D91" s="12">
        <v>39954</v>
      </c>
      <c r="F91" s="5">
        <v>44321</v>
      </c>
      <c r="G91" s="12">
        <v>50372</v>
      </c>
      <c r="H91" s="12">
        <v>2490</v>
      </c>
      <c r="I91" s="12">
        <v>52862</v>
      </c>
      <c r="K91" s="5">
        <v>43593</v>
      </c>
      <c r="L91" s="5">
        <v>44321</v>
      </c>
      <c r="M91" s="12">
        <v>-2426</v>
      </c>
      <c r="N91" s="12">
        <v>92</v>
      </c>
      <c r="O91" s="12">
        <v>-2334</v>
      </c>
      <c r="P91" s="9">
        <v>-4.5948710178415841E-2</v>
      </c>
      <c r="Q91" s="9">
        <v>3.8365304420350244E-2</v>
      </c>
      <c r="R91" s="13">
        <v>-4.228567287484597E-2</v>
      </c>
    </row>
    <row r="92" spans="1:18" x14ac:dyDescent="0.2">
      <c r="A92" s="5">
        <v>43591</v>
      </c>
      <c r="B92" s="12">
        <v>51513</v>
      </c>
      <c r="C92" s="12">
        <v>2573</v>
      </c>
      <c r="D92" s="12">
        <v>54086</v>
      </c>
      <c r="F92" s="5">
        <v>44322</v>
      </c>
      <c r="G92" s="12">
        <v>49605</v>
      </c>
      <c r="H92" s="12">
        <v>2523</v>
      </c>
      <c r="I92" s="12">
        <v>52128</v>
      </c>
      <c r="K92" s="5">
        <v>43594</v>
      </c>
      <c r="L92" s="5">
        <v>44322</v>
      </c>
      <c r="M92" s="12">
        <v>-4256</v>
      </c>
      <c r="N92" s="12">
        <v>52</v>
      </c>
      <c r="O92" s="12">
        <v>-4204</v>
      </c>
      <c r="P92" s="9">
        <v>-7.901821354969274E-2</v>
      </c>
      <c r="Q92" s="9">
        <v>2.1044111695669665E-2</v>
      </c>
      <c r="R92" s="13">
        <v>-7.4628985301427253E-2</v>
      </c>
    </row>
    <row r="93" spans="1:18" x14ac:dyDescent="0.2">
      <c r="A93" s="5">
        <v>43592</v>
      </c>
      <c r="B93" s="12">
        <v>53271</v>
      </c>
      <c r="C93" s="12">
        <v>2425</v>
      </c>
      <c r="D93" s="12">
        <v>55696</v>
      </c>
      <c r="F93" s="5">
        <v>44323</v>
      </c>
      <c r="G93" s="12">
        <v>52697</v>
      </c>
      <c r="H93" s="12">
        <v>2242</v>
      </c>
      <c r="I93" s="12">
        <v>54939</v>
      </c>
      <c r="K93" s="5">
        <v>43595</v>
      </c>
      <c r="L93" s="5">
        <v>44323</v>
      </c>
      <c r="M93" s="12">
        <v>-4649</v>
      </c>
      <c r="N93" s="12">
        <v>-87</v>
      </c>
      <c r="O93" s="12">
        <v>-4736</v>
      </c>
      <c r="P93" s="9">
        <v>-8.1069298643323018E-2</v>
      </c>
      <c r="Q93" s="9">
        <v>-3.7355088020609717E-2</v>
      </c>
      <c r="R93" s="13">
        <v>-7.9363217427733557E-2</v>
      </c>
    </row>
    <row r="94" spans="1:18" x14ac:dyDescent="0.2">
      <c r="A94" s="5">
        <v>43593</v>
      </c>
      <c r="B94" s="12">
        <v>52798</v>
      </c>
      <c r="C94" s="12">
        <v>2398</v>
      </c>
      <c r="D94" s="12">
        <v>55196</v>
      </c>
      <c r="F94" s="5">
        <v>44324</v>
      </c>
      <c r="G94" s="12">
        <v>48402</v>
      </c>
      <c r="H94" s="12">
        <v>530</v>
      </c>
      <c r="I94" s="12">
        <v>48932</v>
      </c>
      <c r="K94" s="5">
        <v>43596</v>
      </c>
      <c r="L94" s="5">
        <v>44324</v>
      </c>
      <c r="M94" s="12">
        <v>630</v>
      </c>
      <c r="N94" s="12">
        <v>-10</v>
      </c>
      <c r="O94" s="12">
        <v>620</v>
      </c>
      <c r="P94" s="9">
        <v>1.3187641296156682E-2</v>
      </c>
      <c r="Q94" s="9">
        <v>-1.851851851851849E-2</v>
      </c>
      <c r="R94" s="13">
        <v>1.2833250538168528E-2</v>
      </c>
    </row>
    <row r="95" spans="1:18" x14ac:dyDescent="0.2">
      <c r="A95" s="5">
        <v>43594</v>
      </c>
      <c r="B95" s="12">
        <v>53861</v>
      </c>
      <c r="C95" s="12">
        <v>2471</v>
      </c>
      <c r="D95" s="12">
        <v>56332</v>
      </c>
      <c r="F95" s="5">
        <v>44325</v>
      </c>
      <c r="G95" s="12">
        <v>42818</v>
      </c>
      <c r="H95" s="12">
        <v>148</v>
      </c>
      <c r="I95" s="12">
        <v>42966</v>
      </c>
      <c r="K95" s="5">
        <v>43597</v>
      </c>
      <c r="L95" s="5">
        <v>44325</v>
      </c>
      <c r="M95" s="12">
        <v>1925</v>
      </c>
      <c r="N95" s="12">
        <v>-107</v>
      </c>
      <c r="O95" s="12">
        <v>1818</v>
      </c>
      <c r="P95" s="9">
        <v>4.707407135695596E-2</v>
      </c>
      <c r="Q95" s="9">
        <v>-0.41960784313725485</v>
      </c>
      <c r="R95" s="13">
        <v>4.4181977252843341E-2</v>
      </c>
    </row>
    <row r="96" spans="1:18" x14ac:dyDescent="0.2">
      <c r="A96" s="5">
        <v>43595</v>
      </c>
      <c r="B96" s="12">
        <v>57346</v>
      </c>
      <c r="C96" s="12">
        <v>2329</v>
      </c>
      <c r="D96" s="12">
        <v>59675</v>
      </c>
      <c r="F96" s="5">
        <v>44326</v>
      </c>
      <c r="G96" s="12">
        <v>47228</v>
      </c>
      <c r="H96" s="12">
        <v>2295</v>
      </c>
      <c r="I96" s="12">
        <v>49523</v>
      </c>
      <c r="K96" s="5">
        <v>43598</v>
      </c>
      <c r="L96" s="5">
        <v>44326</v>
      </c>
      <c r="M96" s="12">
        <v>-4031</v>
      </c>
      <c r="N96" s="12">
        <v>-184</v>
      </c>
      <c r="O96" s="12">
        <v>-4215</v>
      </c>
      <c r="P96" s="9">
        <v>-7.8639848611951058E-2</v>
      </c>
      <c r="Q96" s="9">
        <v>-7.4223477208551825E-2</v>
      </c>
      <c r="R96" s="13">
        <v>-7.8436115970077047E-2</v>
      </c>
    </row>
    <row r="97" spans="1:18" x14ac:dyDescent="0.2">
      <c r="A97" s="5">
        <v>43596</v>
      </c>
      <c r="B97" s="12">
        <v>47772</v>
      </c>
      <c r="C97" s="12">
        <v>540</v>
      </c>
      <c r="D97" s="12">
        <v>48312</v>
      </c>
      <c r="F97" s="5">
        <v>44327</v>
      </c>
      <c r="G97" s="12">
        <v>48852</v>
      </c>
      <c r="H97" s="12">
        <v>2454</v>
      </c>
      <c r="I97" s="12">
        <v>51306</v>
      </c>
      <c r="K97" s="5">
        <v>43599</v>
      </c>
      <c r="L97" s="5">
        <v>44327</v>
      </c>
      <c r="M97" s="12">
        <v>-4207</v>
      </c>
      <c r="N97" s="12">
        <v>-138</v>
      </c>
      <c r="O97" s="12">
        <v>-4345</v>
      </c>
      <c r="P97" s="9">
        <v>-7.9289093273525735E-2</v>
      </c>
      <c r="Q97" s="9">
        <v>-5.32407407407407E-2</v>
      </c>
      <c r="R97" s="13">
        <v>-7.8075865662791344E-2</v>
      </c>
    </row>
    <row r="98" spans="1:18" x14ac:dyDescent="0.2">
      <c r="A98" s="5">
        <v>43597</v>
      </c>
      <c r="B98" s="12">
        <v>40893</v>
      </c>
      <c r="C98" s="12">
        <v>255</v>
      </c>
      <c r="D98" s="12">
        <v>41148</v>
      </c>
      <c r="F98" s="5">
        <v>44328</v>
      </c>
      <c r="G98" s="12">
        <v>55853</v>
      </c>
      <c r="H98" s="12">
        <v>2378</v>
      </c>
      <c r="I98" s="12">
        <v>58231</v>
      </c>
      <c r="K98" s="5">
        <v>43600</v>
      </c>
      <c r="L98" s="5">
        <v>44328</v>
      </c>
      <c r="M98" s="12">
        <v>3260</v>
      </c>
      <c r="N98" s="12">
        <v>-343</v>
      </c>
      <c r="O98" s="12">
        <v>2917</v>
      </c>
      <c r="P98" s="9">
        <v>6.1985435324092508E-2</v>
      </c>
      <c r="Q98" s="9">
        <v>-0.12605659683939729</v>
      </c>
      <c r="R98" s="13">
        <v>5.273529305419955E-2</v>
      </c>
    </row>
    <row r="99" spans="1:18" x14ac:dyDescent="0.2">
      <c r="A99" s="5">
        <v>43598</v>
      </c>
      <c r="B99" s="12">
        <v>51259</v>
      </c>
      <c r="C99" s="12">
        <v>2479</v>
      </c>
      <c r="D99" s="12">
        <v>53738</v>
      </c>
      <c r="F99" s="5">
        <v>44329</v>
      </c>
      <c r="G99" s="12">
        <v>33417</v>
      </c>
      <c r="H99" s="12">
        <v>221</v>
      </c>
      <c r="I99" s="12">
        <v>33638</v>
      </c>
      <c r="K99" s="5">
        <v>43601</v>
      </c>
      <c r="L99" s="5">
        <v>44329</v>
      </c>
      <c r="M99" s="12">
        <v>-21424</v>
      </c>
      <c r="N99" s="12">
        <v>-2305</v>
      </c>
      <c r="O99" s="12">
        <v>-23729</v>
      </c>
      <c r="P99" s="9">
        <v>-0.39065662551740488</v>
      </c>
      <c r="Q99" s="9">
        <v>-0.91250989707046715</v>
      </c>
      <c r="R99" s="13">
        <v>-0.41363501664720137</v>
      </c>
    </row>
    <row r="100" spans="1:18" x14ac:dyDescent="0.2">
      <c r="A100" s="5">
        <v>43599</v>
      </c>
      <c r="B100" s="12">
        <v>53059</v>
      </c>
      <c r="C100" s="12">
        <v>2592</v>
      </c>
      <c r="D100" s="12">
        <v>55651</v>
      </c>
      <c r="F100" s="5">
        <v>44330</v>
      </c>
      <c r="G100" s="12">
        <v>45976</v>
      </c>
      <c r="H100" s="12">
        <v>1354</v>
      </c>
      <c r="I100" s="12">
        <v>47330</v>
      </c>
      <c r="K100" s="5">
        <v>43602</v>
      </c>
      <c r="L100" s="5">
        <v>44330</v>
      </c>
      <c r="M100" s="12">
        <v>-10466</v>
      </c>
      <c r="N100" s="12">
        <v>-1171</v>
      </c>
      <c r="O100" s="12">
        <v>-11637</v>
      </c>
      <c r="P100" s="9">
        <v>-0.18542929024485311</v>
      </c>
      <c r="Q100" s="9">
        <v>-0.46376237623762373</v>
      </c>
      <c r="R100" s="13">
        <v>-0.19734766903522305</v>
      </c>
    </row>
    <row r="101" spans="1:18" x14ac:dyDescent="0.2">
      <c r="A101" s="5">
        <v>43600</v>
      </c>
      <c r="B101" s="12">
        <v>52593</v>
      </c>
      <c r="C101" s="12">
        <v>2721</v>
      </c>
      <c r="D101" s="12">
        <v>55314</v>
      </c>
      <c r="F101" s="5">
        <v>44331</v>
      </c>
      <c r="G101" s="12">
        <v>39948</v>
      </c>
      <c r="H101" s="12">
        <v>453</v>
      </c>
      <c r="I101" s="12">
        <v>40401</v>
      </c>
      <c r="K101" s="5">
        <v>43603</v>
      </c>
      <c r="L101" s="5">
        <v>44331</v>
      </c>
      <c r="M101" s="12">
        <v>-8814</v>
      </c>
      <c r="N101" s="12">
        <v>-203</v>
      </c>
      <c r="O101" s="12">
        <v>-9017</v>
      </c>
      <c r="P101" s="9">
        <v>-0.18075550633690174</v>
      </c>
      <c r="Q101" s="9">
        <v>-0.30945121951219512</v>
      </c>
      <c r="R101" s="13">
        <v>-0.18246387955805576</v>
      </c>
    </row>
    <row r="102" spans="1:18" x14ac:dyDescent="0.2">
      <c r="A102" s="5">
        <v>43601</v>
      </c>
      <c r="B102" s="12">
        <v>54841</v>
      </c>
      <c r="C102" s="12">
        <v>2526</v>
      </c>
      <c r="D102" s="12">
        <v>57367</v>
      </c>
      <c r="F102" s="5">
        <v>44332</v>
      </c>
      <c r="G102" s="12">
        <v>35775</v>
      </c>
      <c r="H102" s="12">
        <v>134</v>
      </c>
      <c r="I102" s="12">
        <v>35909</v>
      </c>
      <c r="K102" s="5">
        <v>43604</v>
      </c>
      <c r="L102" s="5">
        <v>44332</v>
      </c>
      <c r="M102" s="12">
        <v>-2873</v>
      </c>
      <c r="N102" s="12">
        <v>-123</v>
      </c>
      <c r="O102" s="12">
        <v>-2996</v>
      </c>
      <c r="P102" s="9">
        <v>-7.433761126060856E-2</v>
      </c>
      <c r="Q102" s="9">
        <v>-0.47859922178988323</v>
      </c>
      <c r="R102" s="13">
        <v>-7.7008096645675317E-2</v>
      </c>
    </row>
    <row r="103" spans="1:18" x14ac:dyDescent="0.2">
      <c r="A103" s="5">
        <v>43602</v>
      </c>
      <c r="B103" s="12">
        <v>56442</v>
      </c>
      <c r="C103" s="12">
        <v>2525</v>
      </c>
      <c r="D103" s="12">
        <v>58967</v>
      </c>
      <c r="F103" s="5">
        <v>44333</v>
      </c>
      <c r="G103" s="12">
        <v>47719</v>
      </c>
      <c r="H103" s="12">
        <v>2326</v>
      </c>
      <c r="I103" s="12">
        <v>50045</v>
      </c>
      <c r="K103" s="5">
        <v>43605</v>
      </c>
      <c r="L103" s="5">
        <v>44333</v>
      </c>
      <c r="M103" s="12">
        <v>-3147</v>
      </c>
      <c r="N103" s="12">
        <v>-166</v>
      </c>
      <c r="O103" s="12">
        <v>-3313</v>
      </c>
      <c r="P103" s="9">
        <v>-6.1868438642708301E-2</v>
      </c>
      <c r="Q103" s="9">
        <v>-6.66131621187801E-2</v>
      </c>
      <c r="R103" s="13">
        <v>-6.2090033359571195E-2</v>
      </c>
    </row>
    <row r="104" spans="1:18" x14ac:dyDescent="0.2">
      <c r="A104" s="5">
        <v>43603</v>
      </c>
      <c r="B104" s="12">
        <v>48762</v>
      </c>
      <c r="C104" s="12">
        <v>656</v>
      </c>
      <c r="D104" s="12">
        <v>49418</v>
      </c>
      <c r="F104" s="5">
        <v>44334</v>
      </c>
      <c r="G104" s="12">
        <v>49297</v>
      </c>
      <c r="H104" s="12">
        <v>2406</v>
      </c>
      <c r="I104" s="12">
        <v>51703</v>
      </c>
      <c r="K104" s="5">
        <v>43606</v>
      </c>
      <c r="L104" s="5">
        <v>44334</v>
      </c>
      <c r="M104" s="12">
        <v>-3195</v>
      </c>
      <c r="N104" s="12">
        <v>-188</v>
      </c>
      <c r="O104" s="12">
        <v>-3383</v>
      </c>
      <c r="P104" s="9">
        <v>-6.0866417739846024E-2</v>
      </c>
      <c r="Q104" s="9">
        <v>-7.2474942174248214E-2</v>
      </c>
      <c r="R104" s="13">
        <v>-6.1413063210253083E-2</v>
      </c>
    </row>
    <row r="105" spans="1:18" x14ac:dyDescent="0.2">
      <c r="A105" s="5">
        <v>43604</v>
      </c>
      <c r="B105" s="12">
        <v>38648</v>
      </c>
      <c r="C105" s="12">
        <v>257</v>
      </c>
      <c r="D105" s="12">
        <v>38905</v>
      </c>
      <c r="F105" s="5">
        <v>44335</v>
      </c>
      <c r="G105" s="12">
        <v>49542</v>
      </c>
      <c r="H105" s="12">
        <v>2146</v>
      </c>
      <c r="I105" s="12">
        <v>51688</v>
      </c>
      <c r="K105" s="5">
        <v>43607</v>
      </c>
      <c r="L105" s="5">
        <v>44335</v>
      </c>
      <c r="M105" s="12">
        <v>-4629</v>
      </c>
      <c r="N105" s="12">
        <v>-413</v>
      </c>
      <c r="O105" s="12">
        <v>-5042</v>
      </c>
      <c r="P105" s="9">
        <v>-8.5451625408428877E-2</v>
      </c>
      <c r="Q105" s="9">
        <v>-0.1613911684251661</v>
      </c>
      <c r="R105" s="13">
        <v>-8.8877137317116217E-2</v>
      </c>
    </row>
    <row r="106" spans="1:18" x14ac:dyDescent="0.2">
      <c r="A106" s="5">
        <v>43605</v>
      </c>
      <c r="B106" s="12">
        <v>50866</v>
      </c>
      <c r="C106" s="12">
        <v>2492</v>
      </c>
      <c r="D106" s="12">
        <v>53358</v>
      </c>
      <c r="F106" s="5">
        <v>44336</v>
      </c>
      <c r="G106" s="12">
        <v>51868</v>
      </c>
      <c r="H106" s="12">
        <v>2489</v>
      </c>
      <c r="I106" s="12">
        <v>54357</v>
      </c>
      <c r="K106" s="5">
        <v>43608</v>
      </c>
      <c r="L106" s="5">
        <v>44336</v>
      </c>
      <c r="M106" s="12">
        <v>-4184</v>
      </c>
      <c r="N106" s="12">
        <v>-45</v>
      </c>
      <c r="O106" s="12">
        <v>-4229</v>
      </c>
      <c r="P106" s="9">
        <v>-7.4644972525512054E-2</v>
      </c>
      <c r="Q106" s="9">
        <v>-1.7758484609313285E-2</v>
      </c>
      <c r="R106" s="13">
        <v>-7.218448093401153E-2</v>
      </c>
    </row>
    <row r="107" spans="1:18" x14ac:dyDescent="0.2">
      <c r="A107" s="5">
        <v>43606</v>
      </c>
      <c r="B107" s="12">
        <v>52492</v>
      </c>
      <c r="C107" s="12">
        <v>2594</v>
      </c>
      <c r="D107" s="12">
        <v>55086</v>
      </c>
      <c r="F107" s="5">
        <v>44337</v>
      </c>
      <c r="G107" s="12">
        <v>53928</v>
      </c>
      <c r="H107" s="12">
        <v>2315</v>
      </c>
      <c r="I107" s="12">
        <v>56243</v>
      </c>
      <c r="K107" s="5">
        <v>43609</v>
      </c>
      <c r="L107" s="5">
        <v>44337</v>
      </c>
      <c r="M107" s="12">
        <v>-5473</v>
      </c>
      <c r="N107" s="12">
        <v>-146</v>
      </c>
      <c r="O107" s="12">
        <v>-5619</v>
      </c>
      <c r="P107" s="9">
        <v>-9.2136496018585534E-2</v>
      </c>
      <c r="Q107" s="9">
        <v>-5.9325477448191832E-2</v>
      </c>
      <c r="R107" s="13">
        <v>-9.0831204940027832E-2</v>
      </c>
    </row>
    <row r="108" spans="1:18" x14ac:dyDescent="0.2">
      <c r="A108" s="5">
        <v>43607</v>
      </c>
      <c r="B108" s="12">
        <v>54171</v>
      </c>
      <c r="C108" s="12">
        <v>2559</v>
      </c>
      <c r="D108" s="12">
        <v>56730</v>
      </c>
      <c r="F108" s="5">
        <v>44338</v>
      </c>
      <c r="G108" s="12">
        <v>46063</v>
      </c>
      <c r="H108" s="12">
        <v>490</v>
      </c>
      <c r="I108" s="12">
        <v>46553</v>
      </c>
      <c r="K108" s="5">
        <v>43610</v>
      </c>
      <c r="L108" s="5">
        <v>44338</v>
      </c>
      <c r="M108" s="12">
        <v>-3930</v>
      </c>
      <c r="N108" s="12">
        <v>-110</v>
      </c>
      <c r="O108" s="12">
        <v>-4040</v>
      </c>
      <c r="P108" s="9">
        <v>-7.8611005540775714E-2</v>
      </c>
      <c r="Q108" s="9">
        <v>-0.18333333333333335</v>
      </c>
      <c r="R108" s="13">
        <v>-7.985294408317356E-2</v>
      </c>
    </row>
    <row r="109" spans="1:18" x14ac:dyDescent="0.2">
      <c r="A109" s="5">
        <v>43608</v>
      </c>
      <c r="B109" s="12">
        <v>56052</v>
      </c>
      <c r="C109" s="12">
        <v>2534</v>
      </c>
      <c r="D109" s="12">
        <v>58586</v>
      </c>
      <c r="F109" s="5">
        <v>44339</v>
      </c>
      <c r="G109" s="12">
        <v>38554</v>
      </c>
      <c r="H109" s="12">
        <v>105</v>
      </c>
      <c r="I109" s="12">
        <v>38659</v>
      </c>
      <c r="K109" s="5">
        <v>43611</v>
      </c>
      <c r="L109" s="5">
        <v>44339</v>
      </c>
      <c r="M109" s="12">
        <v>-4822</v>
      </c>
      <c r="N109" s="12">
        <v>-146</v>
      </c>
      <c r="O109" s="12">
        <v>-4968</v>
      </c>
      <c r="P109" s="9">
        <v>-0.11116746587974913</v>
      </c>
      <c r="Q109" s="9">
        <v>-0.58167330677290829</v>
      </c>
      <c r="R109" s="13">
        <v>-0.1138744355559631</v>
      </c>
    </row>
    <row r="110" spans="1:18" x14ac:dyDescent="0.2">
      <c r="A110" s="5">
        <v>43609</v>
      </c>
      <c r="B110" s="12">
        <v>59401</v>
      </c>
      <c r="C110" s="12">
        <v>2461</v>
      </c>
      <c r="D110" s="12">
        <v>61862</v>
      </c>
      <c r="F110" s="5">
        <v>44340</v>
      </c>
      <c r="G110" s="12">
        <v>38230</v>
      </c>
      <c r="H110" s="12">
        <v>220</v>
      </c>
      <c r="I110" s="12">
        <v>38450</v>
      </c>
      <c r="K110" s="5">
        <v>43612</v>
      </c>
      <c r="L110" s="5">
        <v>44340</v>
      </c>
      <c r="M110" s="12">
        <v>-15196</v>
      </c>
      <c r="N110" s="12">
        <v>-2316</v>
      </c>
      <c r="O110" s="12">
        <v>-17512</v>
      </c>
      <c r="P110" s="9">
        <v>-0.28443080148242428</v>
      </c>
      <c r="Q110" s="9">
        <v>-0.91324921135646686</v>
      </c>
      <c r="R110" s="13">
        <v>-0.31292662878381761</v>
      </c>
    </row>
    <row r="111" spans="1:18" x14ac:dyDescent="0.2">
      <c r="A111" s="5">
        <v>43610</v>
      </c>
      <c r="B111" s="12">
        <v>49993</v>
      </c>
      <c r="C111" s="12">
        <v>600</v>
      </c>
      <c r="D111" s="12">
        <v>50593</v>
      </c>
      <c r="F111" s="5">
        <v>44341</v>
      </c>
      <c r="G111" s="12">
        <v>51584</v>
      </c>
      <c r="H111" s="12">
        <v>2557</v>
      </c>
      <c r="I111" s="12">
        <v>54141</v>
      </c>
      <c r="K111" s="5">
        <v>43613</v>
      </c>
      <c r="L111" s="5">
        <v>44341</v>
      </c>
      <c r="M111" s="12">
        <v>-2698</v>
      </c>
      <c r="N111" s="12">
        <v>-37</v>
      </c>
      <c r="O111" s="12">
        <v>-2735</v>
      </c>
      <c r="P111" s="9">
        <v>-4.9703400758999261E-2</v>
      </c>
      <c r="Q111" s="9">
        <v>-1.4263685427910566E-2</v>
      </c>
      <c r="R111" s="13">
        <v>-4.8087066601026796E-2</v>
      </c>
    </row>
    <row r="112" spans="1:18" x14ac:dyDescent="0.2">
      <c r="A112" s="5">
        <v>43611</v>
      </c>
      <c r="B112" s="12">
        <v>43376</v>
      </c>
      <c r="C112" s="12">
        <v>251</v>
      </c>
      <c r="D112" s="12">
        <v>43627</v>
      </c>
      <c r="F112" s="5">
        <v>44342</v>
      </c>
      <c r="G112" s="12">
        <v>51619</v>
      </c>
      <c r="H112" s="12">
        <v>2639</v>
      </c>
      <c r="I112" s="12">
        <v>54258</v>
      </c>
      <c r="K112" s="5">
        <v>43614</v>
      </c>
      <c r="L112" s="5">
        <v>44342</v>
      </c>
      <c r="M112" s="12">
        <v>-10532</v>
      </c>
      <c r="N112" s="12">
        <v>65</v>
      </c>
      <c r="O112" s="12">
        <v>-10467</v>
      </c>
      <c r="P112" s="9">
        <v>-0.1694582548953355</v>
      </c>
      <c r="Q112" s="9">
        <v>2.5252525252525304E-2</v>
      </c>
      <c r="R112" s="13">
        <v>-0.16171494785631513</v>
      </c>
    </row>
    <row r="113" spans="1:18" x14ac:dyDescent="0.2">
      <c r="A113" s="5">
        <v>43612</v>
      </c>
      <c r="B113" s="12">
        <v>53426</v>
      </c>
      <c r="C113" s="12">
        <v>2536</v>
      </c>
      <c r="D113" s="12">
        <v>55962</v>
      </c>
      <c r="F113" s="5">
        <v>44343</v>
      </c>
      <c r="G113" s="12">
        <v>52984</v>
      </c>
      <c r="H113" s="12">
        <v>2595</v>
      </c>
      <c r="I113" s="12">
        <v>55579</v>
      </c>
      <c r="K113" s="5">
        <v>43615</v>
      </c>
      <c r="L113" s="5">
        <v>44343</v>
      </c>
      <c r="M113" s="12">
        <v>9147</v>
      </c>
      <c r="N113" s="12">
        <v>2274</v>
      </c>
      <c r="O113" s="12">
        <v>11421</v>
      </c>
      <c r="P113" s="9">
        <v>0.20865935168921235</v>
      </c>
      <c r="Q113" s="9">
        <v>7.0841121495327108</v>
      </c>
      <c r="R113" s="13">
        <v>0.25863943113365639</v>
      </c>
    </row>
    <row r="114" spans="1:18" x14ac:dyDescent="0.2">
      <c r="A114" s="5">
        <v>43613</v>
      </c>
      <c r="B114" s="12">
        <v>54282</v>
      </c>
      <c r="C114" s="12">
        <v>2594</v>
      </c>
      <c r="D114" s="12">
        <v>56876</v>
      </c>
      <c r="F114" s="5">
        <v>44344</v>
      </c>
      <c r="G114" s="12">
        <v>54525</v>
      </c>
      <c r="H114" s="12">
        <v>2421</v>
      </c>
      <c r="I114" s="12">
        <v>56946</v>
      </c>
      <c r="K114" s="5">
        <v>43616</v>
      </c>
      <c r="L114" s="5">
        <v>44344</v>
      </c>
      <c r="M114" s="12">
        <v>6054</v>
      </c>
      <c r="N114" s="12">
        <v>918</v>
      </c>
      <c r="O114" s="12">
        <v>6972</v>
      </c>
      <c r="P114" s="9">
        <v>0.12489942439809365</v>
      </c>
      <c r="Q114" s="9">
        <v>0.61077844311377238</v>
      </c>
      <c r="R114" s="13">
        <v>0.13951254652419265</v>
      </c>
    </row>
    <row r="115" spans="1:18" x14ac:dyDescent="0.2">
      <c r="A115" s="5">
        <v>43614</v>
      </c>
      <c r="B115" s="12">
        <v>62151</v>
      </c>
      <c r="C115" s="12">
        <v>2574</v>
      </c>
      <c r="D115" s="12">
        <v>64725</v>
      </c>
      <c r="F115" s="5">
        <v>44345</v>
      </c>
      <c r="G115" s="12">
        <v>48943</v>
      </c>
      <c r="H115" s="12">
        <v>582</v>
      </c>
      <c r="I115" s="12">
        <v>49525</v>
      </c>
      <c r="K115" s="5">
        <v>43617</v>
      </c>
      <c r="L115" s="5">
        <v>44345</v>
      </c>
      <c r="M115" s="12">
        <v>3560</v>
      </c>
      <c r="N115" s="12">
        <v>1</v>
      </c>
      <c r="O115" s="12">
        <v>3561</v>
      </c>
      <c r="P115" s="9">
        <v>7.8443470021814399E-2</v>
      </c>
      <c r="Q115" s="9">
        <v>1.7211703958692759E-3</v>
      </c>
      <c r="R115" s="13">
        <v>7.7473675050039104E-2</v>
      </c>
    </row>
    <row r="116" spans="1:18" x14ac:dyDescent="0.2">
      <c r="A116" s="5">
        <v>43615</v>
      </c>
      <c r="B116" s="12">
        <v>43837</v>
      </c>
      <c r="C116" s="12">
        <v>321</v>
      </c>
      <c r="D116" s="12">
        <v>44158</v>
      </c>
      <c r="F116" s="5">
        <v>44346</v>
      </c>
      <c r="G116" s="12">
        <v>42580</v>
      </c>
      <c r="H116" s="12">
        <v>156</v>
      </c>
      <c r="I116" s="12">
        <v>42736</v>
      </c>
      <c r="K116" s="5">
        <v>43618</v>
      </c>
      <c r="L116" s="5">
        <v>44346</v>
      </c>
      <c r="M116" s="12">
        <v>-1987</v>
      </c>
      <c r="N116" s="12">
        <v>-83</v>
      </c>
      <c r="O116" s="12">
        <v>-2070</v>
      </c>
      <c r="P116" s="9">
        <v>-4.4584558081091408E-2</v>
      </c>
      <c r="Q116" s="9">
        <v>-0.34728033472803344</v>
      </c>
      <c r="R116" s="13">
        <v>-4.6199169754050806E-2</v>
      </c>
    </row>
    <row r="117" spans="1:18" x14ac:dyDescent="0.2">
      <c r="A117" s="5">
        <v>43616</v>
      </c>
      <c r="B117" s="12">
        <v>48471</v>
      </c>
      <c r="C117" s="12">
        <v>1503</v>
      </c>
      <c r="D117" s="12">
        <v>49974</v>
      </c>
      <c r="F117" s="5">
        <v>44347</v>
      </c>
      <c r="G117" s="12">
        <v>49373</v>
      </c>
      <c r="H117" s="12">
        <v>2351</v>
      </c>
      <c r="I117" s="12">
        <v>51724</v>
      </c>
      <c r="K117" s="5">
        <v>43619</v>
      </c>
      <c r="L117" s="5">
        <v>44347</v>
      </c>
      <c r="M117" s="12">
        <f t="shared" ref="M117:O117" si="4">G117-B120</f>
        <v>-3221</v>
      </c>
      <c r="N117" s="12">
        <f t="shared" si="4"/>
        <v>-115</v>
      </c>
      <c r="O117" s="12">
        <f t="shared" si="4"/>
        <v>-3336</v>
      </c>
      <c r="P117" s="9">
        <f t="shared" ref="P117:R117" si="5">G117/B120-1</f>
        <v>-6.1242727307297407E-2</v>
      </c>
      <c r="Q117" s="9">
        <f t="shared" si="5"/>
        <v>-4.6634225466342216E-2</v>
      </c>
      <c r="R117" s="13">
        <f t="shared" si="5"/>
        <v>-6.0588448964765673E-2</v>
      </c>
    </row>
    <row r="118" spans="1:18" x14ac:dyDescent="0.2">
      <c r="A118" s="5">
        <v>43617</v>
      </c>
      <c r="B118" s="12">
        <v>45383</v>
      </c>
      <c r="C118" s="12">
        <v>581</v>
      </c>
      <c r="D118" s="12">
        <v>45964</v>
      </c>
      <c r="F118" s="5"/>
      <c r="G118" s="12"/>
      <c r="H118" s="12"/>
      <c r="I118" s="12"/>
      <c r="L118" s="5"/>
      <c r="M118" s="12"/>
      <c r="N118" s="12"/>
      <c r="O118" s="12"/>
      <c r="P118" s="9"/>
      <c r="Q118" s="9"/>
      <c r="R118" s="13"/>
    </row>
    <row r="119" spans="1:18" x14ac:dyDescent="0.2">
      <c r="A119" s="5">
        <v>43618</v>
      </c>
      <c r="B119" s="12">
        <v>44567</v>
      </c>
      <c r="C119" s="12">
        <v>239</v>
      </c>
      <c r="D119" s="12">
        <v>44806</v>
      </c>
      <c r="F119" s="5"/>
      <c r="G119" s="12"/>
      <c r="H119" s="12"/>
      <c r="I119" s="12"/>
      <c r="K119" s="5"/>
      <c r="L119" s="5"/>
      <c r="M119" s="12"/>
      <c r="N119" s="12"/>
      <c r="O119" s="12"/>
      <c r="P119" s="9"/>
      <c r="Q119" s="9"/>
      <c r="R119" s="13"/>
    </row>
    <row r="120" spans="1:18" x14ac:dyDescent="0.2">
      <c r="A120" s="5">
        <v>43619</v>
      </c>
      <c r="B120" s="12">
        <v>52594</v>
      </c>
      <c r="C120" s="12">
        <v>2466</v>
      </c>
      <c r="D120" s="12">
        <v>55060</v>
      </c>
      <c r="F120" s="5"/>
      <c r="G120" s="12"/>
      <c r="H120" s="12"/>
      <c r="I120" s="12"/>
      <c r="K120" s="5"/>
      <c r="L120" s="5"/>
      <c r="M120" s="12"/>
      <c r="N120" s="12"/>
      <c r="O120" s="12"/>
      <c r="P120" s="9"/>
      <c r="Q120" s="9"/>
      <c r="R120" s="13"/>
    </row>
    <row r="121" spans="1:18" x14ac:dyDescent="0.2">
      <c r="A121" s="5"/>
      <c r="B121" s="12"/>
      <c r="C121" s="12"/>
      <c r="D121" s="12"/>
      <c r="F121" s="5"/>
      <c r="G121" s="12"/>
      <c r="H121" s="12"/>
      <c r="I121" s="12"/>
      <c r="K121" s="5"/>
      <c r="L121" s="5"/>
      <c r="M121" s="12"/>
      <c r="N121" s="12"/>
      <c r="O121" s="12"/>
      <c r="P121" s="9"/>
      <c r="Q121" s="9"/>
      <c r="R121" s="13"/>
    </row>
  </sheetData>
  <mergeCells count="11">
    <mergeCell ref="A85:A86"/>
    <mergeCell ref="F85:F86"/>
    <mergeCell ref="K85:L86"/>
    <mergeCell ref="A6:D6"/>
    <mergeCell ref="A7:C7"/>
    <mergeCell ref="A9:A10"/>
    <mergeCell ref="F9:F10"/>
    <mergeCell ref="K9:L10"/>
    <mergeCell ref="A47:A48"/>
    <mergeCell ref="F47:F48"/>
    <mergeCell ref="K47:L48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10"/>
  <dimension ref="A1:R121"/>
  <sheetViews>
    <sheetView zoomScale="80" zoomScaleNormal="8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140625" customWidth="1"/>
    <col min="6" max="6" width="28.5703125" bestFit="1" customWidth="1"/>
    <col min="7" max="7" width="11.85546875" customWidth="1"/>
    <col min="8" max="8" width="7.42578125" bestFit="1" customWidth="1"/>
    <col min="9" max="9" width="15.85546875" bestFit="1" customWidth="1"/>
    <col min="10" max="10" width="0.85546875" customWidth="1"/>
    <col min="11" max="12" width="24.5703125" bestFit="1" customWidth="1"/>
    <col min="13" max="13" width="11.5703125" customWidth="1"/>
    <col min="14" max="14" width="7.42578125" bestFit="1" customWidth="1"/>
    <col min="15" max="15" width="15.85546875" bestFit="1" customWidth="1"/>
    <col min="16" max="16" width="11.5703125" customWidth="1"/>
    <col min="17" max="17" width="7.140625" bestFit="1" customWidth="1"/>
    <col min="18" max="18" width="15.85546875" style="10" bestFit="1" customWidth="1"/>
  </cols>
  <sheetData>
    <row r="1" spans="1:18" ht="15.75" x14ac:dyDescent="0.25">
      <c r="A1" s="11" t="s">
        <v>43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4" t="s">
        <v>47</v>
      </c>
      <c r="B6" s="25"/>
      <c r="C6" s="25"/>
      <c r="D6" s="25"/>
      <c r="E6" s="17"/>
      <c r="F6" s="17"/>
      <c r="G6" s="17"/>
    </row>
    <row r="7" spans="1:18" ht="15" x14ac:dyDescent="0.2">
      <c r="A7" s="24" t="s">
        <v>48</v>
      </c>
      <c r="B7" s="25"/>
      <c r="C7" s="25"/>
    </row>
    <row r="9" spans="1:18" ht="12.95" customHeight="1" x14ac:dyDescent="0.2">
      <c r="A9" s="26" t="s">
        <v>1</v>
      </c>
      <c r="B9" s="6"/>
      <c r="C9" s="6"/>
      <c r="D9" s="3"/>
      <c r="F9" s="26" t="s">
        <v>1</v>
      </c>
      <c r="G9" s="6"/>
      <c r="H9" s="6"/>
      <c r="I9" s="3"/>
      <c r="K9" s="26" t="s">
        <v>3</v>
      </c>
      <c r="L9" s="26"/>
      <c r="M9" s="6"/>
      <c r="N9" s="6"/>
      <c r="O9" s="3"/>
      <c r="P9" s="6"/>
      <c r="Q9" s="6"/>
      <c r="R9" s="3"/>
    </row>
    <row r="10" spans="1:18" ht="26.45" customHeight="1" x14ac:dyDescent="0.2">
      <c r="A10" s="27"/>
      <c r="B10" s="8" t="s">
        <v>38</v>
      </c>
      <c r="C10" s="4" t="s">
        <v>2</v>
      </c>
      <c r="D10" s="4" t="s">
        <v>0</v>
      </c>
      <c r="F10" s="27"/>
      <c r="G10" s="8" t="s">
        <v>38</v>
      </c>
      <c r="H10" s="4" t="s">
        <v>2</v>
      </c>
      <c r="I10" s="4" t="s">
        <v>0</v>
      </c>
      <c r="K10" s="27"/>
      <c r="L10" s="27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43586</v>
      </c>
      <c r="B11" s="12">
        <v>76375</v>
      </c>
      <c r="C11" s="12">
        <v>2434</v>
      </c>
      <c r="D11" s="12">
        <v>78809</v>
      </c>
      <c r="F11" s="5">
        <v>44317</v>
      </c>
      <c r="G11" s="12">
        <v>70262</v>
      </c>
      <c r="H11" s="12">
        <v>783</v>
      </c>
      <c r="I11" s="12">
        <v>71045</v>
      </c>
      <c r="K11" s="5">
        <v>43589</v>
      </c>
      <c r="L11" s="5">
        <v>44317</v>
      </c>
      <c r="M11" s="12">
        <v>-10856</v>
      </c>
      <c r="N11" s="12">
        <v>-378</v>
      </c>
      <c r="O11" s="12">
        <v>-11234</v>
      </c>
      <c r="P11" s="9">
        <v>-0.13382972952982075</v>
      </c>
      <c r="Q11" s="9">
        <v>-0.32558139534883723</v>
      </c>
      <c r="R11" s="13">
        <v>-0.13653544646872229</v>
      </c>
    </row>
    <row r="12" spans="1:18" x14ac:dyDescent="0.2">
      <c r="A12" s="5">
        <v>43587</v>
      </c>
      <c r="B12" s="12">
        <v>84900</v>
      </c>
      <c r="C12" s="12">
        <v>6225</v>
      </c>
      <c r="D12" s="12">
        <v>91125</v>
      </c>
      <c r="F12" s="5">
        <v>44318</v>
      </c>
      <c r="G12" s="12">
        <v>60479</v>
      </c>
      <c r="H12" s="12">
        <v>272</v>
      </c>
      <c r="I12" s="12">
        <v>60751</v>
      </c>
      <c r="K12" s="5">
        <v>43590</v>
      </c>
      <c r="L12" s="5">
        <v>44318</v>
      </c>
      <c r="M12" s="12">
        <v>-6872</v>
      </c>
      <c r="N12" s="12">
        <v>-64</v>
      </c>
      <c r="O12" s="12">
        <v>-6936</v>
      </c>
      <c r="P12" s="9">
        <v>-0.10203263500170745</v>
      </c>
      <c r="Q12" s="9">
        <v>-0.19047619047619047</v>
      </c>
      <c r="R12" s="13">
        <v>-0.10247167107420918</v>
      </c>
    </row>
    <row r="13" spans="1:18" x14ac:dyDescent="0.2">
      <c r="A13" s="5">
        <v>43588</v>
      </c>
      <c r="B13" s="12">
        <v>90170</v>
      </c>
      <c r="C13" s="12">
        <v>5682</v>
      </c>
      <c r="D13" s="12">
        <v>95852</v>
      </c>
      <c r="F13" s="5">
        <v>44319</v>
      </c>
      <c r="G13" s="12">
        <v>77716</v>
      </c>
      <c r="H13" s="12">
        <v>5982</v>
      </c>
      <c r="I13" s="12">
        <v>83698</v>
      </c>
      <c r="K13" s="5">
        <v>43591</v>
      </c>
      <c r="L13" s="5">
        <v>44319</v>
      </c>
      <c r="M13" s="12">
        <v>-6632</v>
      </c>
      <c r="N13" s="12">
        <v>105</v>
      </c>
      <c r="O13" s="12">
        <v>-6527</v>
      </c>
      <c r="P13" s="9">
        <v>-7.8626642006923708E-2</v>
      </c>
      <c r="Q13" s="9">
        <v>1.7866258295048398E-2</v>
      </c>
      <c r="R13" s="13">
        <v>-7.2341368800221684E-2</v>
      </c>
    </row>
    <row r="14" spans="1:18" x14ac:dyDescent="0.2">
      <c r="A14" s="5">
        <v>43589</v>
      </c>
      <c r="B14" s="12">
        <v>81118</v>
      </c>
      <c r="C14" s="12">
        <v>1161</v>
      </c>
      <c r="D14" s="12">
        <v>82279</v>
      </c>
      <c r="F14" s="5">
        <v>44320</v>
      </c>
      <c r="G14" s="12">
        <v>78118</v>
      </c>
      <c r="H14" s="12">
        <v>6349</v>
      </c>
      <c r="I14" s="12">
        <v>84467</v>
      </c>
      <c r="K14" s="5">
        <v>43592</v>
      </c>
      <c r="L14" s="5">
        <v>44320</v>
      </c>
      <c r="M14" s="12">
        <v>-7208</v>
      </c>
      <c r="N14" s="12">
        <v>271</v>
      </c>
      <c r="O14" s="12">
        <v>-6937</v>
      </c>
      <c r="P14" s="9">
        <v>-8.4476009657079909E-2</v>
      </c>
      <c r="Q14" s="9">
        <v>4.4587035208950354E-2</v>
      </c>
      <c r="R14" s="13">
        <v>-7.5893833967878854E-2</v>
      </c>
    </row>
    <row r="15" spans="1:18" x14ac:dyDescent="0.2">
      <c r="A15" s="5">
        <v>43590</v>
      </c>
      <c r="B15" s="12">
        <v>67351</v>
      </c>
      <c r="C15" s="12">
        <v>336</v>
      </c>
      <c r="D15" s="12">
        <v>67687</v>
      </c>
      <c r="F15" s="5">
        <v>44321</v>
      </c>
      <c r="G15" s="12">
        <v>78609</v>
      </c>
      <c r="H15" s="12">
        <v>6348</v>
      </c>
      <c r="I15" s="12">
        <v>84957</v>
      </c>
      <c r="K15" s="5">
        <v>43593</v>
      </c>
      <c r="L15" s="5">
        <v>44321</v>
      </c>
      <c r="M15" s="12">
        <v>-6357</v>
      </c>
      <c r="N15" s="12">
        <v>64</v>
      </c>
      <c r="O15" s="12">
        <v>-6293</v>
      </c>
      <c r="P15" s="9">
        <v>-7.481816255914131E-2</v>
      </c>
      <c r="Q15" s="9">
        <v>1.0184595798854224E-2</v>
      </c>
      <c r="R15" s="13">
        <v>-6.8964383561643805E-2</v>
      </c>
    </row>
    <row r="16" spans="1:18" x14ac:dyDescent="0.2">
      <c r="A16" s="5">
        <v>43591</v>
      </c>
      <c r="B16" s="12">
        <v>84348</v>
      </c>
      <c r="C16" s="12">
        <v>5877</v>
      </c>
      <c r="D16" s="12">
        <v>90225</v>
      </c>
      <c r="F16" s="5">
        <v>44322</v>
      </c>
      <c r="G16" s="12">
        <v>79927</v>
      </c>
      <c r="H16" s="12">
        <v>6470</v>
      </c>
      <c r="I16" s="12">
        <v>86397</v>
      </c>
      <c r="K16" s="5">
        <v>43594</v>
      </c>
      <c r="L16" s="5">
        <v>44322</v>
      </c>
      <c r="M16" s="12">
        <v>-7568</v>
      </c>
      <c r="N16" s="12">
        <v>321</v>
      </c>
      <c r="O16" s="12">
        <v>-7247</v>
      </c>
      <c r="P16" s="9">
        <v>-8.6496371221212676E-2</v>
      </c>
      <c r="Q16" s="9">
        <v>5.2203610343145135E-2</v>
      </c>
      <c r="R16" s="13">
        <v>-7.7388834308658283E-2</v>
      </c>
    </row>
    <row r="17" spans="1:18" x14ac:dyDescent="0.2">
      <c r="A17" s="5">
        <v>43592</v>
      </c>
      <c r="B17" s="12">
        <v>85326</v>
      </c>
      <c r="C17" s="12">
        <v>6078</v>
      </c>
      <c r="D17" s="12">
        <v>91404</v>
      </c>
      <c r="F17" s="5">
        <v>44323</v>
      </c>
      <c r="G17" s="12">
        <v>85911</v>
      </c>
      <c r="H17" s="12">
        <v>5812</v>
      </c>
      <c r="I17" s="12">
        <v>91723</v>
      </c>
      <c r="K17" s="5">
        <v>43595</v>
      </c>
      <c r="L17" s="5">
        <v>44323</v>
      </c>
      <c r="M17" s="12">
        <v>-6983</v>
      </c>
      <c r="N17" s="12">
        <v>71</v>
      </c>
      <c r="O17" s="12">
        <v>-6912</v>
      </c>
      <c r="P17" s="9">
        <v>-7.5171701078648789E-2</v>
      </c>
      <c r="Q17" s="9">
        <v>1.2367183417523187E-2</v>
      </c>
      <c r="R17" s="13">
        <v>-7.0076544837025412E-2</v>
      </c>
    </row>
    <row r="18" spans="1:18" x14ac:dyDescent="0.2">
      <c r="A18" s="5">
        <v>43593</v>
      </c>
      <c r="B18" s="12">
        <v>84966</v>
      </c>
      <c r="C18" s="12">
        <v>6284</v>
      </c>
      <c r="D18" s="12">
        <v>91250</v>
      </c>
      <c r="F18" s="5">
        <v>44324</v>
      </c>
      <c r="G18" s="12">
        <v>85133</v>
      </c>
      <c r="H18" s="12">
        <v>1200</v>
      </c>
      <c r="I18" s="12">
        <v>86333</v>
      </c>
      <c r="K18" s="5">
        <v>43596</v>
      </c>
      <c r="L18" s="5">
        <v>44324</v>
      </c>
      <c r="M18" s="12">
        <v>1648</v>
      </c>
      <c r="N18" s="12">
        <v>33</v>
      </c>
      <c r="O18" s="12">
        <v>1681</v>
      </c>
      <c r="P18" s="9">
        <v>1.9740073067018082E-2</v>
      </c>
      <c r="Q18" s="9">
        <v>2.8277634961439535E-2</v>
      </c>
      <c r="R18" s="13">
        <v>1.9857770637433214E-2</v>
      </c>
    </row>
    <row r="19" spans="1:18" x14ac:dyDescent="0.2">
      <c r="A19" s="5">
        <v>43594</v>
      </c>
      <c r="B19" s="12">
        <v>87495</v>
      </c>
      <c r="C19" s="12">
        <v>6149</v>
      </c>
      <c r="D19" s="12">
        <v>93644</v>
      </c>
      <c r="F19" s="5">
        <v>44325</v>
      </c>
      <c r="G19" s="12">
        <v>80646</v>
      </c>
      <c r="H19" s="12">
        <v>363</v>
      </c>
      <c r="I19" s="12">
        <v>81009</v>
      </c>
      <c r="K19" s="5">
        <v>43597</v>
      </c>
      <c r="L19" s="5">
        <v>44325</v>
      </c>
      <c r="M19" s="12">
        <v>5569</v>
      </c>
      <c r="N19" s="12">
        <v>-26</v>
      </c>
      <c r="O19" s="12">
        <v>5543</v>
      </c>
      <c r="P19" s="9">
        <v>7.4177178097153629E-2</v>
      </c>
      <c r="Q19" s="9">
        <v>-6.6838046272493568E-2</v>
      </c>
      <c r="R19" s="13">
        <v>7.345029549730997E-2</v>
      </c>
    </row>
    <row r="20" spans="1:18" x14ac:dyDescent="0.2">
      <c r="A20" s="5">
        <v>43595</v>
      </c>
      <c r="B20" s="12">
        <v>92894</v>
      </c>
      <c r="C20" s="12">
        <v>5741</v>
      </c>
      <c r="D20" s="12">
        <v>98635</v>
      </c>
      <c r="F20" s="5">
        <v>44326</v>
      </c>
      <c r="G20" s="12">
        <v>77444</v>
      </c>
      <c r="H20" s="12">
        <v>6307</v>
      </c>
      <c r="I20" s="12">
        <v>83751</v>
      </c>
      <c r="K20" s="5">
        <v>43598</v>
      </c>
      <c r="L20" s="5">
        <v>44326</v>
      </c>
      <c r="M20" s="12">
        <v>-7663</v>
      </c>
      <c r="N20" s="12">
        <v>233</v>
      </c>
      <c r="O20" s="12">
        <v>-7430</v>
      </c>
      <c r="P20" s="9">
        <v>-9.0039597212920208E-2</v>
      </c>
      <c r="Q20" s="9">
        <v>3.8360223905169466E-2</v>
      </c>
      <c r="R20" s="13">
        <v>-8.1486274552812543E-2</v>
      </c>
    </row>
    <row r="21" spans="1:18" x14ac:dyDescent="0.2">
      <c r="A21" s="5">
        <v>43596</v>
      </c>
      <c r="B21" s="12">
        <v>83485</v>
      </c>
      <c r="C21" s="12">
        <v>1167</v>
      </c>
      <c r="D21" s="12">
        <v>84652</v>
      </c>
      <c r="F21" s="5">
        <v>44327</v>
      </c>
      <c r="G21" s="12">
        <v>78492</v>
      </c>
      <c r="H21" s="12">
        <v>6553</v>
      </c>
      <c r="I21" s="12">
        <v>85045</v>
      </c>
      <c r="K21" s="5">
        <v>43599</v>
      </c>
      <c r="L21" s="5">
        <v>44327</v>
      </c>
      <c r="M21" s="12">
        <v>-7071</v>
      </c>
      <c r="N21" s="12">
        <v>266</v>
      </c>
      <c r="O21" s="12">
        <v>-6805</v>
      </c>
      <c r="P21" s="9">
        <v>-8.2640861119876563E-2</v>
      </c>
      <c r="Q21" s="9">
        <v>4.2309527596627872E-2</v>
      </c>
      <c r="R21" s="13">
        <v>-7.4088187261839966E-2</v>
      </c>
    </row>
    <row r="22" spans="1:18" x14ac:dyDescent="0.2">
      <c r="A22" s="5">
        <v>43597</v>
      </c>
      <c r="B22" s="12">
        <v>75077</v>
      </c>
      <c r="C22" s="12">
        <v>389</v>
      </c>
      <c r="D22" s="12">
        <v>75466</v>
      </c>
      <c r="F22" s="5">
        <v>44328</v>
      </c>
      <c r="G22" s="12">
        <v>88057</v>
      </c>
      <c r="H22" s="12">
        <v>6632</v>
      </c>
      <c r="I22" s="12">
        <v>94689</v>
      </c>
      <c r="K22" s="5">
        <v>43600</v>
      </c>
      <c r="L22" s="5">
        <v>44328</v>
      </c>
      <c r="M22" s="12">
        <v>339</v>
      </c>
      <c r="N22" s="12">
        <v>352</v>
      </c>
      <c r="O22" s="12">
        <v>691</v>
      </c>
      <c r="P22" s="9">
        <v>3.8646571969265242E-3</v>
      </c>
      <c r="Q22" s="9">
        <v>5.6050955414012726E-2</v>
      </c>
      <c r="R22" s="13">
        <v>7.3512202387284731E-3</v>
      </c>
    </row>
    <row r="23" spans="1:18" x14ac:dyDescent="0.2">
      <c r="A23" s="5">
        <v>43598</v>
      </c>
      <c r="B23" s="12">
        <v>85107</v>
      </c>
      <c r="C23" s="12">
        <v>6074</v>
      </c>
      <c r="D23" s="12">
        <v>91181</v>
      </c>
      <c r="F23" s="5">
        <v>44329</v>
      </c>
      <c r="G23" s="12">
        <v>64450</v>
      </c>
      <c r="H23" s="12">
        <v>425</v>
      </c>
      <c r="I23" s="12">
        <v>64875</v>
      </c>
      <c r="K23" s="5">
        <v>43601</v>
      </c>
      <c r="L23" s="5">
        <v>44329</v>
      </c>
      <c r="M23" s="12">
        <v>-23754</v>
      </c>
      <c r="N23" s="12">
        <v>-5753</v>
      </c>
      <c r="O23" s="12">
        <v>-29507</v>
      </c>
      <c r="P23" s="9">
        <v>-0.26930751439844003</v>
      </c>
      <c r="Q23" s="9">
        <v>-0.93120751052120432</v>
      </c>
      <c r="R23" s="13">
        <v>-0.31263376491280115</v>
      </c>
    </row>
    <row r="24" spans="1:18" x14ac:dyDescent="0.2">
      <c r="A24" s="5">
        <v>43599</v>
      </c>
      <c r="B24" s="12">
        <v>85563</v>
      </c>
      <c r="C24" s="12">
        <v>6287</v>
      </c>
      <c r="D24" s="12">
        <v>91850</v>
      </c>
      <c r="F24" s="5">
        <v>44330</v>
      </c>
      <c r="G24" s="12">
        <v>81996</v>
      </c>
      <c r="H24" s="12">
        <v>4351</v>
      </c>
      <c r="I24" s="12">
        <v>86347</v>
      </c>
      <c r="K24" s="5">
        <v>43602</v>
      </c>
      <c r="L24" s="5">
        <v>44330</v>
      </c>
      <c r="M24" s="12">
        <v>-5894</v>
      </c>
      <c r="N24" s="12">
        <v>-1206</v>
      </c>
      <c r="O24" s="12">
        <v>-7100</v>
      </c>
      <c r="P24" s="9">
        <v>-6.7061099101149213E-2</v>
      </c>
      <c r="Q24" s="9">
        <v>-0.21702357387079363</v>
      </c>
      <c r="R24" s="13">
        <v>-7.5978897128853751E-2</v>
      </c>
    </row>
    <row r="25" spans="1:18" x14ac:dyDescent="0.2">
      <c r="A25" s="5">
        <v>43600</v>
      </c>
      <c r="B25" s="12">
        <v>87718</v>
      </c>
      <c r="C25" s="12">
        <v>6280</v>
      </c>
      <c r="D25" s="12">
        <v>93998</v>
      </c>
      <c r="F25" s="5">
        <v>44331</v>
      </c>
      <c r="G25" s="12">
        <v>75280</v>
      </c>
      <c r="H25" s="12">
        <v>1112</v>
      </c>
      <c r="I25" s="12">
        <v>76392</v>
      </c>
      <c r="K25" s="5">
        <v>43603</v>
      </c>
      <c r="L25" s="5">
        <v>44331</v>
      </c>
      <c r="M25" s="12">
        <v>-10839</v>
      </c>
      <c r="N25" s="12">
        <v>-133</v>
      </c>
      <c r="O25" s="12">
        <v>-10972</v>
      </c>
      <c r="P25" s="9">
        <v>-0.12586072759785882</v>
      </c>
      <c r="Q25" s="9">
        <v>-0.10682730923694783</v>
      </c>
      <c r="R25" s="13">
        <v>-0.12558948766082134</v>
      </c>
    </row>
    <row r="26" spans="1:18" x14ac:dyDescent="0.2">
      <c r="A26" s="5">
        <v>43601</v>
      </c>
      <c r="B26" s="12">
        <v>88204</v>
      </c>
      <c r="C26" s="12">
        <v>6178</v>
      </c>
      <c r="D26" s="12">
        <v>94382</v>
      </c>
      <c r="F26" s="5">
        <v>44332</v>
      </c>
      <c r="G26" s="12">
        <v>65512</v>
      </c>
      <c r="H26" s="12">
        <v>389</v>
      </c>
      <c r="I26" s="12">
        <v>65901</v>
      </c>
      <c r="K26" s="5">
        <v>43604</v>
      </c>
      <c r="L26" s="5">
        <v>44332</v>
      </c>
      <c r="M26" s="12">
        <v>-5350</v>
      </c>
      <c r="N26" s="12">
        <v>3</v>
      </c>
      <c r="O26" s="12">
        <v>-5347</v>
      </c>
      <c r="P26" s="9">
        <v>-7.5498856933194136E-2</v>
      </c>
      <c r="Q26" s="9">
        <v>7.7720207253886286E-3</v>
      </c>
      <c r="R26" s="13">
        <v>-7.5047720637772319E-2</v>
      </c>
    </row>
    <row r="27" spans="1:18" x14ac:dyDescent="0.2">
      <c r="A27" s="5">
        <v>43602</v>
      </c>
      <c r="B27" s="12">
        <v>87890</v>
      </c>
      <c r="C27" s="12">
        <v>5557</v>
      </c>
      <c r="D27" s="12">
        <v>93447</v>
      </c>
      <c r="F27" s="5">
        <v>44333</v>
      </c>
      <c r="G27" s="12">
        <v>79048</v>
      </c>
      <c r="H27" s="12">
        <v>6207</v>
      </c>
      <c r="I27" s="12">
        <v>85255</v>
      </c>
      <c r="K27" s="5">
        <v>43605</v>
      </c>
      <c r="L27" s="5">
        <v>44333</v>
      </c>
      <c r="M27" s="12">
        <v>-2318</v>
      </c>
      <c r="N27" s="12">
        <v>284</v>
      </c>
      <c r="O27" s="12">
        <v>-2034</v>
      </c>
      <c r="P27" s="9">
        <v>-2.8488557874296383E-2</v>
      </c>
      <c r="Q27" s="9">
        <v>4.7948674658112367E-2</v>
      </c>
      <c r="R27" s="13">
        <v>-2.3301905165599379E-2</v>
      </c>
    </row>
    <row r="28" spans="1:18" x14ac:dyDescent="0.2">
      <c r="A28" s="5">
        <v>43603</v>
      </c>
      <c r="B28" s="12">
        <v>86119</v>
      </c>
      <c r="C28" s="12">
        <v>1245</v>
      </c>
      <c r="D28" s="12">
        <v>87364</v>
      </c>
      <c r="F28" s="5">
        <v>44334</v>
      </c>
      <c r="G28" s="12">
        <v>78480</v>
      </c>
      <c r="H28" s="12">
        <v>6223</v>
      </c>
      <c r="I28" s="12">
        <v>84703</v>
      </c>
      <c r="K28" s="5">
        <v>43606</v>
      </c>
      <c r="L28" s="5">
        <v>44334</v>
      </c>
      <c r="M28" s="12">
        <v>-5325</v>
      </c>
      <c r="N28" s="12">
        <v>178</v>
      </c>
      <c r="O28" s="12">
        <v>-5147</v>
      </c>
      <c r="P28" s="9">
        <v>-6.3540361553606539E-2</v>
      </c>
      <c r="Q28" s="9">
        <v>2.9445822994210058E-2</v>
      </c>
      <c r="R28" s="13">
        <v>-5.7284362826933832E-2</v>
      </c>
    </row>
    <row r="29" spans="1:18" x14ac:dyDescent="0.2">
      <c r="A29" s="5">
        <v>43604</v>
      </c>
      <c r="B29" s="12">
        <v>70862</v>
      </c>
      <c r="C29" s="12">
        <v>386</v>
      </c>
      <c r="D29" s="12">
        <v>71248</v>
      </c>
      <c r="F29" s="5">
        <v>44335</v>
      </c>
      <c r="G29" s="12">
        <v>81125</v>
      </c>
      <c r="H29" s="12">
        <v>6644</v>
      </c>
      <c r="I29" s="12">
        <v>87769</v>
      </c>
      <c r="K29" s="5">
        <v>43607</v>
      </c>
      <c r="L29" s="5">
        <v>44335</v>
      </c>
      <c r="M29" s="12">
        <v>-6565</v>
      </c>
      <c r="N29" s="12">
        <v>310</v>
      </c>
      <c r="O29" s="12">
        <v>-6255</v>
      </c>
      <c r="P29" s="9">
        <v>-7.4866005245752043E-2</v>
      </c>
      <c r="Q29" s="9">
        <v>4.8942216608778066E-2</v>
      </c>
      <c r="R29" s="13">
        <v>-6.652556794010045E-2</v>
      </c>
    </row>
    <row r="30" spans="1:18" x14ac:dyDescent="0.2">
      <c r="A30" s="5">
        <v>43605</v>
      </c>
      <c r="B30" s="12">
        <v>81366</v>
      </c>
      <c r="C30" s="12">
        <v>5923</v>
      </c>
      <c r="D30" s="12">
        <v>87289</v>
      </c>
      <c r="F30" s="5">
        <v>44336</v>
      </c>
      <c r="G30" s="12">
        <v>83441</v>
      </c>
      <c r="H30" s="12">
        <v>6535</v>
      </c>
      <c r="I30" s="12">
        <v>89976</v>
      </c>
      <c r="K30" s="5">
        <v>43608</v>
      </c>
      <c r="L30" s="5">
        <v>44336</v>
      </c>
      <c r="M30" s="12">
        <v>-4001</v>
      </c>
      <c r="N30" s="12">
        <v>279</v>
      </c>
      <c r="O30" s="12">
        <v>-3722</v>
      </c>
      <c r="P30" s="9">
        <v>-4.5756044006312724E-2</v>
      </c>
      <c r="Q30" s="9">
        <v>4.4597186700767288E-2</v>
      </c>
      <c r="R30" s="13">
        <v>-3.972336656065234E-2</v>
      </c>
    </row>
    <row r="31" spans="1:18" x14ac:dyDescent="0.2">
      <c r="A31" s="5">
        <v>43606</v>
      </c>
      <c r="B31" s="12">
        <v>83805</v>
      </c>
      <c r="C31" s="12">
        <v>6045</v>
      </c>
      <c r="D31" s="12">
        <v>89850</v>
      </c>
      <c r="F31" s="5">
        <v>44337</v>
      </c>
      <c r="G31" s="12">
        <v>89034</v>
      </c>
      <c r="H31" s="12">
        <v>6168</v>
      </c>
      <c r="I31" s="12">
        <v>95202</v>
      </c>
      <c r="K31" s="5">
        <v>43609</v>
      </c>
      <c r="L31" s="5">
        <v>44337</v>
      </c>
      <c r="M31" s="12">
        <v>-5322</v>
      </c>
      <c r="N31" s="12">
        <v>166</v>
      </c>
      <c r="O31" s="12">
        <v>-5156</v>
      </c>
      <c r="P31" s="9">
        <v>-5.6403408368307262E-2</v>
      </c>
      <c r="Q31" s="9">
        <v>2.7657447517494216E-2</v>
      </c>
      <c r="R31" s="13">
        <v>-5.1376073656310361E-2</v>
      </c>
    </row>
    <row r="32" spans="1:18" x14ac:dyDescent="0.2">
      <c r="A32" s="5">
        <v>43607</v>
      </c>
      <c r="B32" s="12">
        <v>87690</v>
      </c>
      <c r="C32" s="12">
        <v>6334</v>
      </c>
      <c r="D32" s="12">
        <v>94024</v>
      </c>
      <c r="F32" s="5">
        <v>44338</v>
      </c>
      <c r="G32" s="12">
        <v>82327</v>
      </c>
      <c r="H32" s="12">
        <v>1290</v>
      </c>
      <c r="I32" s="12">
        <v>83617</v>
      </c>
      <c r="K32" s="5">
        <v>43610</v>
      </c>
      <c r="L32" s="5">
        <v>44338</v>
      </c>
      <c r="M32" s="12">
        <v>-5870</v>
      </c>
      <c r="N32" s="12">
        <v>7</v>
      </c>
      <c r="O32" s="12">
        <v>-5863</v>
      </c>
      <c r="P32" s="9">
        <v>-6.6555551776137478E-2</v>
      </c>
      <c r="Q32" s="9">
        <v>5.4559625876851037E-3</v>
      </c>
      <c r="R32" s="13">
        <v>-6.5523021904336121E-2</v>
      </c>
    </row>
    <row r="33" spans="1:18" x14ac:dyDescent="0.2">
      <c r="A33" s="5">
        <v>43608</v>
      </c>
      <c r="B33" s="12">
        <v>87442</v>
      </c>
      <c r="C33" s="12">
        <v>6256</v>
      </c>
      <c r="D33" s="12">
        <v>93698</v>
      </c>
      <c r="F33" s="5">
        <v>44339</v>
      </c>
      <c r="G33" s="12">
        <v>71075</v>
      </c>
      <c r="H33" s="12">
        <v>238</v>
      </c>
      <c r="I33" s="12">
        <v>71313</v>
      </c>
      <c r="K33" s="5">
        <v>43611</v>
      </c>
      <c r="L33" s="5">
        <v>44339</v>
      </c>
      <c r="M33" s="12">
        <v>-5201</v>
      </c>
      <c r="N33" s="12">
        <v>-185</v>
      </c>
      <c r="O33" s="12">
        <v>-5386</v>
      </c>
      <c r="P33" s="9">
        <v>-6.818658555771151E-2</v>
      </c>
      <c r="Q33" s="9">
        <v>-0.43735224586288413</v>
      </c>
      <c r="R33" s="13">
        <v>-7.0222558312363903E-2</v>
      </c>
    </row>
    <row r="34" spans="1:18" x14ac:dyDescent="0.2">
      <c r="A34" s="5">
        <v>43609</v>
      </c>
      <c r="B34" s="12">
        <v>94356</v>
      </c>
      <c r="C34" s="12">
        <v>6002</v>
      </c>
      <c r="D34" s="12">
        <v>100358</v>
      </c>
      <c r="F34" s="5">
        <v>44340</v>
      </c>
      <c r="G34" s="12">
        <v>66321</v>
      </c>
      <c r="H34" s="12">
        <v>499</v>
      </c>
      <c r="I34" s="12">
        <v>66820</v>
      </c>
      <c r="K34" s="5">
        <v>43612</v>
      </c>
      <c r="L34" s="5">
        <v>44340</v>
      </c>
      <c r="M34" s="12">
        <v>-18929</v>
      </c>
      <c r="N34" s="12">
        <v>-5517</v>
      </c>
      <c r="O34" s="12">
        <v>-24446</v>
      </c>
      <c r="P34" s="9">
        <v>-0.2220410557184751</v>
      </c>
      <c r="Q34" s="9">
        <v>-0.9170545212765957</v>
      </c>
      <c r="R34" s="13">
        <v>-0.26785440361142154</v>
      </c>
    </row>
    <row r="35" spans="1:18" x14ac:dyDescent="0.2">
      <c r="A35" s="5">
        <v>43610</v>
      </c>
      <c r="B35" s="12">
        <v>88197</v>
      </c>
      <c r="C35" s="12">
        <v>1283</v>
      </c>
      <c r="D35" s="12">
        <v>89480</v>
      </c>
      <c r="F35" s="5">
        <v>44341</v>
      </c>
      <c r="G35" s="12">
        <v>80120</v>
      </c>
      <c r="H35" s="12">
        <v>6209</v>
      </c>
      <c r="I35" s="12">
        <v>86329</v>
      </c>
      <c r="K35" s="5">
        <v>43613</v>
      </c>
      <c r="L35" s="5">
        <v>44341</v>
      </c>
      <c r="M35" s="12">
        <v>-6775</v>
      </c>
      <c r="N35" s="12">
        <v>-471</v>
      </c>
      <c r="O35" s="12">
        <v>-7246</v>
      </c>
      <c r="P35" s="9">
        <v>-7.7967662120950521E-2</v>
      </c>
      <c r="Q35" s="9">
        <v>-7.0508982035928147E-2</v>
      </c>
      <c r="R35" s="13">
        <v>-7.7435212396473441E-2</v>
      </c>
    </row>
    <row r="36" spans="1:18" x14ac:dyDescent="0.2">
      <c r="A36" s="5">
        <v>43611</v>
      </c>
      <c r="B36" s="12">
        <v>76276</v>
      </c>
      <c r="C36" s="12">
        <v>423</v>
      </c>
      <c r="D36" s="12">
        <v>76699</v>
      </c>
      <c r="F36" s="5">
        <v>44342</v>
      </c>
      <c r="G36" s="12">
        <v>83531</v>
      </c>
      <c r="H36" s="12">
        <v>6677</v>
      </c>
      <c r="I36" s="12">
        <v>90208</v>
      </c>
      <c r="K36" s="5">
        <v>43614</v>
      </c>
      <c r="L36" s="5">
        <v>44342</v>
      </c>
      <c r="M36" s="12">
        <v>-6559</v>
      </c>
      <c r="N36" s="12">
        <v>382</v>
      </c>
      <c r="O36" s="12">
        <v>-6177</v>
      </c>
      <c r="P36" s="9">
        <v>-7.2804972804972778E-2</v>
      </c>
      <c r="Q36" s="9">
        <v>6.0683081810961159E-2</v>
      </c>
      <c r="R36" s="13">
        <v>-6.4086735487887125E-2</v>
      </c>
    </row>
    <row r="37" spans="1:18" x14ac:dyDescent="0.2">
      <c r="A37" s="5">
        <v>43612</v>
      </c>
      <c r="B37" s="12">
        <v>85250</v>
      </c>
      <c r="C37" s="12">
        <v>6016</v>
      </c>
      <c r="D37" s="12">
        <v>91266</v>
      </c>
      <c r="F37" s="5">
        <v>44343</v>
      </c>
      <c r="G37" s="12">
        <v>83268</v>
      </c>
      <c r="H37" s="12">
        <v>6729</v>
      </c>
      <c r="I37" s="12">
        <v>89997</v>
      </c>
      <c r="K37" s="5">
        <v>43615</v>
      </c>
      <c r="L37" s="5">
        <v>44343</v>
      </c>
      <c r="M37" s="12">
        <v>10828</v>
      </c>
      <c r="N37" s="12">
        <v>6146</v>
      </c>
      <c r="O37" s="12">
        <v>16974</v>
      </c>
      <c r="P37" s="9">
        <v>0.1494754279403645</v>
      </c>
      <c r="Q37" s="9">
        <v>10.542024013722127</v>
      </c>
      <c r="R37" s="13">
        <v>0.23244731112115358</v>
      </c>
    </row>
    <row r="38" spans="1:18" x14ac:dyDescent="0.2">
      <c r="A38" s="5">
        <v>43613</v>
      </c>
      <c r="B38" s="12">
        <v>86895</v>
      </c>
      <c r="C38" s="12">
        <v>6680</v>
      </c>
      <c r="D38" s="12">
        <v>93575</v>
      </c>
      <c r="F38" s="5">
        <v>44344</v>
      </c>
      <c r="G38" s="12">
        <v>92929</v>
      </c>
      <c r="H38" s="12">
        <v>6311</v>
      </c>
      <c r="I38" s="12">
        <v>99240</v>
      </c>
      <c r="K38" s="5">
        <v>43616</v>
      </c>
      <c r="L38" s="5">
        <v>44344</v>
      </c>
      <c r="M38" s="12">
        <v>12852</v>
      </c>
      <c r="N38" s="12">
        <v>2075</v>
      </c>
      <c r="O38" s="12">
        <v>14927</v>
      </c>
      <c r="P38" s="9">
        <v>0.16049552305905568</v>
      </c>
      <c r="Q38" s="9">
        <v>0.48984891406987718</v>
      </c>
      <c r="R38" s="13">
        <v>0.17704268618125329</v>
      </c>
    </row>
    <row r="39" spans="1:18" x14ac:dyDescent="0.2">
      <c r="A39" s="5">
        <v>43614</v>
      </c>
      <c r="B39" s="12">
        <v>90090</v>
      </c>
      <c r="C39" s="12">
        <v>6295</v>
      </c>
      <c r="D39" s="12">
        <v>96385</v>
      </c>
      <c r="F39" s="5">
        <v>44345</v>
      </c>
      <c r="G39" s="12">
        <v>86771</v>
      </c>
      <c r="H39" s="12">
        <v>1237</v>
      </c>
      <c r="I39" s="12">
        <v>88008</v>
      </c>
      <c r="K39" s="5">
        <v>43617</v>
      </c>
      <c r="L39" s="5">
        <v>44345</v>
      </c>
      <c r="M39" s="12">
        <v>7272</v>
      </c>
      <c r="N39" s="12">
        <v>2</v>
      </c>
      <c r="O39" s="12">
        <v>7274</v>
      </c>
      <c r="P39" s="9">
        <v>9.1472848715078214E-2</v>
      </c>
      <c r="Q39" s="9">
        <v>1.6194331983805377E-3</v>
      </c>
      <c r="R39" s="13">
        <v>9.0098347660217515E-2</v>
      </c>
    </row>
    <row r="40" spans="1:18" x14ac:dyDescent="0.2">
      <c r="A40" s="5">
        <v>43615</v>
      </c>
      <c r="B40" s="12">
        <v>72440</v>
      </c>
      <c r="C40" s="12">
        <v>583</v>
      </c>
      <c r="D40" s="12">
        <v>73023</v>
      </c>
      <c r="F40" s="5">
        <v>44346</v>
      </c>
      <c r="G40" s="12">
        <v>79789</v>
      </c>
      <c r="H40" s="12">
        <v>397</v>
      </c>
      <c r="I40" s="12">
        <v>80186</v>
      </c>
      <c r="K40" s="5">
        <v>43618</v>
      </c>
      <c r="L40" s="5">
        <v>44346</v>
      </c>
      <c r="M40" s="12">
        <v>663</v>
      </c>
      <c r="N40" s="12">
        <v>-202</v>
      </c>
      <c r="O40" s="12">
        <v>461</v>
      </c>
      <c r="P40" s="9">
        <v>8.3790410231783241E-3</v>
      </c>
      <c r="Q40" s="9">
        <v>-0.337228714524207</v>
      </c>
      <c r="R40" s="13">
        <v>5.7823769206648556E-3</v>
      </c>
    </row>
    <row r="41" spans="1:18" x14ac:dyDescent="0.2">
      <c r="A41" s="5">
        <v>43616</v>
      </c>
      <c r="B41" s="12">
        <v>80077</v>
      </c>
      <c r="C41" s="12">
        <v>4236</v>
      </c>
      <c r="D41" s="12">
        <v>84313</v>
      </c>
      <c r="F41" s="5">
        <v>44347</v>
      </c>
      <c r="G41" s="12">
        <v>81943</v>
      </c>
      <c r="H41" s="12">
        <v>6122</v>
      </c>
      <c r="I41" s="12">
        <v>88065</v>
      </c>
      <c r="K41" s="5">
        <v>43619</v>
      </c>
      <c r="L41" s="5">
        <v>44347</v>
      </c>
      <c r="M41" s="12">
        <f t="shared" ref="M41:O41" si="0">G41-B44</f>
        <v>-4179</v>
      </c>
      <c r="N41" s="12">
        <f t="shared" si="0"/>
        <v>51</v>
      </c>
      <c r="O41" s="12">
        <f t="shared" si="0"/>
        <v>-4128</v>
      </c>
      <c r="P41" s="9">
        <f t="shared" ref="P41:R41" si="1">G41/B44-1</f>
        <v>-4.852418661898239E-2</v>
      </c>
      <c r="Q41" s="9">
        <f t="shared" si="1"/>
        <v>8.4005929830341941E-3</v>
      </c>
      <c r="R41" s="13">
        <f t="shared" si="1"/>
        <v>-4.477563372490323E-2</v>
      </c>
    </row>
    <row r="42" spans="1:18" x14ac:dyDescent="0.2">
      <c r="A42" s="5">
        <v>43617</v>
      </c>
      <c r="B42" s="12">
        <v>79499</v>
      </c>
      <c r="C42" s="12">
        <v>1235</v>
      </c>
      <c r="D42" s="12">
        <v>80734</v>
      </c>
      <c r="F42" s="5"/>
      <c r="G42" s="12"/>
      <c r="H42" s="12"/>
      <c r="I42" s="12"/>
      <c r="L42" s="5"/>
      <c r="M42" s="12"/>
      <c r="N42" s="12"/>
      <c r="O42" s="12"/>
      <c r="P42" s="9"/>
      <c r="Q42" s="9"/>
      <c r="R42" s="13"/>
    </row>
    <row r="43" spans="1:18" x14ac:dyDescent="0.2">
      <c r="A43" s="5">
        <v>43618</v>
      </c>
      <c r="B43" s="12">
        <v>79126</v>
      </c>
      <c r="C43" s="12">
        <v>599</v>
      </c>
      <c r="D43" s="12">
        <v>79725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5">
        <v>43619</v>
      </c>
      <c r="B44" s="12">
        <v>86122</v>
      </c>
      <c r="C44" s="12">
        <v>6071</v>
      </c>
      <c r="D44" s="12">
        <v>92193</v>
      </c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">
      <c r="A45" s="5"/>
      <c r="B45" s="12"/>
      <c r="C45" s="12"/>
      <c r="D45" s="12"/>
      <c r="F45" s="5"/>
      <c r="G45" s="12"/>
      <c r="H45" s="12"/>
      <c r="I45" s="12"/>
      <c r="K45" s="5"/>
      <c r="L45" s="5"/>
      <c r="M45" s="12"/>
      <c r="N45" s="12"/>
      <c r="O45" s="12"/>
      <c r="P45" s="9"/>
      <c r="Q45" s="9"/>
      <c r="R45" s="13"/>
    </row>
    <row r="46" spans="1:18" x14ac:dyDescent="0.2">
      <c r="A46" s="1"/>
      <c r="B46" s="2"/>
      <c r="C46" s="2"/>
      <c r="D46" s="2"/>
      <c r="F46" s="1"/>
      <c r="G46" s="2"/>
      <c r="H46" s="2"/>
      <c r="I46" s="2"/>
    </row>
    <row r="47" spans="1:18" ht="12.95" customHeight="1" x14ac:dyDescent="0.2">
      <c r="A47" s="26" t="s">
        <v>34</v>
      </c>
      <c r="B47" s="6"/>
      <c r="C47" s="6"/>
      <c r="D47" s="3"/>
      <c r="F47" s="26" t="s">
        <v>34</v>
      </c>
      <c r="G47" s="6"/>
      <c r="H47" s="6"/>
      <c r="I47" s="3"/>
      <c r="K47" s="26" t="s">
        <v>35</v>
      </c>
      <c r="L47" s="26"/>
      <c r="M47" s="6"/>
      <c r="N47" s="6"/>
      <c r="O47" s="3"/>
      <c r="P47" s="6"/>
      <c r="Q47" s="6"/>
      <c r="R47" s="3"/>
    </row>
    <row r="48" spans="1:18" ht="25.5" x14ac:dyDescent="0.2">
      <c r="A48" s="27"/>
      <c r="B48" s="8" t="s">
        <v>38</v>
      </c>
      <c r="C48" s="4" t="s">
        <v>2</v>
      </c>
      <c r="D48" s="4" t="s">
        <v>0</v>
      </c>
      <c r="F48" s="27"/>
      <c r="G48" s="8" t="s">
        <v>38</v>
      </c>
      <c r="H48" s="4" t="s">
        <v>2</v>
      </c>
      <c r="I48" s="4" t="s">
        <v>0</v>
      </c>
      <c r="K48" s="27"/>
      <c r="L48" s="27"/>
      <c r="M48" s="8" t="s">
        <v>38</v>
      </c>
      <c r="N48" s="4" t="s">
        <v>2</v>
      </c>
      <c r="O48" s="4" t="s">
        <v>0</v>
      </c>
      <c r="P48" s="8" t="s">
        <v>38</v>
      </c>
      <c r="Q48" s="4" t="s">
        <v>2</v>
      </c>
      <c r="R48" s="4" t="s">
        <v>0</v>
      </c>
    </row>
    <row r="49" spans="1:18" x14ac:dyDescent="0.2">
      <c r="A49" s="5">
        <v>43586</v>
      </c>
      <c r="B49" s="12">
        <v>38763</v>
      </c>
      <c r="C49" s="12">
        <v>1197</v>
      </c>
      <c r="D49" s="12">
        <v>39960</v>
      </c>
      <c r="F49" s="5">
        <v>44317</v>
      </c>
      <c r="G49" s="12">
        <v>36017</v>
      </c>
      <c r="H49" s="12">
        <v>362</v>
      </c>
      <c r="I49" s="12">
        <v>36379</v>
      </c>
      <c r="K49" s="5">
        <v>43589</v>
      </c>
      <c r="L49" s="5">
        <v>44317</v>
      </c>
      <c r="M49" s="12">
        <v>-4593</v>
      </c>
      <c r="N49" s="12">
        <v>-190</v>
      </c>
      <c r="O49" s="12">
        <v>-4783</v>
      </c>
      <c r="P49" s="9">
        <v>-0.11310022162029054</v>
      </c>
      <c r="Q49" s="9">
        <v>-0.34420289855072461</v>
      </c>
      <c r="R49" s="13">
        <v>-0.11619940722025168</v>
      </c>
    </row>
    <row r="50" spans="1:18" x14ac:dyDescent="0.2">
      <c r="A50" s="5">
        <v>43587</v>
      </c>
      <c r="B50" s="12">
        <v>43063</v>
      </c>
      <c r="C50" s="12">
        <v>3086</v>
      </c>
      <c r="D50" s="12">
        <v>46149</v>
      </c>
      <c r="F50" s="5">
        <v>44318</v>
      </c>
      <c r="G50" s="12">
        <v>30260</v>
      </c>
      <c r="H50" s="12">
        <v>123</v>
      </c>
      <c r="I50" s="12">
        <v>30383</v>
      </c>
      <c r="K50" s="5">
        <v>43590</v>
      </c>
      <c r="L50" s="5">
        <v>44318</v>
      </c>
      <c r="M50" s="12">
        <v>-3452</v>
      </c>
      <c r="N50" s="12">
        <v>-29</v>
      </c>
      <c r="O50" s="12">
        <v>-3481</v>
      </c>
      <c r="P50" s="9">
        <v>-0.10239677266255343</v>
      </c>
      <c r="Q50" s="9">
        <v>-0.19078947368421051</v>
      </c>
      <c r="R50" s="13">
        <v>-0.10279352704937395</v>
      </c>
    </row>
    <row r="51" spans="1:18" x14ac:dyDescent="0.2">
      <c r="A51" s="5">
        <v>43588</v>
      </c>
      <c r="B51" s="12">
        <v>46173</v>
      </c>
      <c r="C51" s="12">
        <v>2828</v>
      </c>
      <c r="D51" s="12">
        <v>49001</v>
      </c>
      <c r="F51" s="5">
        <v>44319</v>
      </c>
      <c r="G51" s="12">
        <v>39525</v>
      </c>
      <c r="H51" s="12">
        <v>2931</v>
      </c>
      <c r="I51" s="12">
        <v>42456</v>
      </c>
      <c r="K51" s="5">
        <v>43591</v>
      </c>
      <c r="L51" s="5">
        <v>44319</v>
      </c>
      <c r="M51" s="12">
        <v>-3744</v>
      </c>
      <c r="N51" s="12">
        <v>44</v>
      </c>
      <c r="O51" s="12">
        <v>-3700</v>
      </c>
      <c r="P51" s="9">
        <v>-8.6528461485127939E-2</v>
      </c>
      <c r="Q51" s="9">
        <v>1.5240734326290362E-2</v>
      </c>
      <c r="R51" s="13">
        <v>-8.0162925730132617E-2</v>
      </c>
    </row>
    <row r="52" spans="1:18" x14ac:dyDescent="0.2">
      <c r="A52" s="5">
        <v>43589</v>
      </c>
      <c r="B52" s="12">
        <v>40610</v>
      </c>
      <c r="C52" s="12">
        <v>552</v>
      </c>
      <c r="D52" s="12">
        <v>41162</v>
      </c>
      <c r="F52" s="5">
        <v>44320</v>
      </c>
      <c r="G52" s="12">
        <v>40153</v>
      </c>
      <c r="H52" s="12">
        <v>3160</v>
      </c>
      <c r="I52" s="12">
        <v>43313</v>
      </c>
      <c r="K52" s="5">
        <v>43592</v>
      </c>
      <c r="L52" s="5">
        <v>44320</v>
      </c>
      <c r="M52" s="12">
        <v>-4054</v>
      </c>
      <c r="N52" s="12">
        <v>94</v>
      </c>
      <c r="O52" s="12">
        <v>-3960</v>
      </c>
      <c r="P52" s="9">
        <v>-9.1704933607799632E-2</v>
      </c>
      <c r="Q52" s="9">
        <v>3.0658838878016903E-2</v>
      </c>
      <c r="R52" s="13">
        <v>-8.3768747487995232E-2</v>
      </c>
    </row>
    <row r="53" spans="1:18" x14ac:dyDescent="0.2">
      <c r="A53" s="5">
        <v>43590</v>
      </c>
      <c r="B53" s="12">
        <v>33712</v>
      </c>
      <c r="C53" s="12">
        <v>152</v>
      </c>
      <c r="D53" s="12">
        <v>33864</v>
      </c>
      <c r="F53" s="5">
        <v>44321</v>
      </c>
      <c r="G53" s="12">
        <v>40813</v>
      </c>
      <c r="H53" s="12">
        <v>3138</v>
      </c>
      <c r="I53" s="12">
        <v>43951</v>
      </c>
      <c r="K53" s="5">
        <v>43593</v>
      </c>
      <c r="L53" s="5">
        <v>44321</v>
      </c>
      <c r="M53" s="12">
        <v>-3355</v>
      </c>
      <c r="N53" s="12">
        <v>-32</v>
      </c>
      <c r="O53" s="12">
        <v>-3387</v>
      </c>
      <c r="P53" s="9">
        <v>-7.5959971019742833E-2</v>
      </c>
      <c r="Q53" s="9">
        <v>-1.0094637223974745E-2</v>
      </c>
      <c r="R53" s="13">
        <v>-7.1549283873420966E-2</v>
      </c>
    </row>
    <row r="54" spans="1:18" x14ac:dyDescent="0.2">
      <c r="A54" s="5">
        <v>43591</v>
      </c>
      <c r="B54" s="12">
        <v>43269</v>
      </c>
      <c r="C54" s="12">
        <v>2887</v>
      </c>
      <c r="D54" s="12">
        <v>46156</v>
      </c>
      <c r="F54" s="5">
        <v>44322</v>
      </c>
      <c r="G54" s="12">
        <v>41639</v>
      </c>
      <c r="H54" s="12">
        <v>3246</v>
      </c>
      <c r="I54" s="12">
        <v>44885</v>
      </c>
      <c r="K54" s="5">
        <v>43594</v>
      </c>
      <c r="L54" s="5">
        <v>44322</v>
      </c>
      <c r="M54" s="12">
        <v>-3396</v>
      </c>
      <c r="N54" s="12">
        <v>207</v>
      </c>
      <c r="O54" s="12">
        <v>-3189</v>
      </c>
      <c r="P54" s="9">
        <v>-7.5408015987565191E-2</v>
      </c>
      <c r="Q54" s="9">
        <v>6.8114511352418639E-2</v>
      </c>
      <c r="R54" s="13">
        <v>-6.6335233182177489E-2</v>
      </c>
    </row>
    <row r="55" spans="1:18" x14ac:dyDescent="0.2">
      <c r="A55" s="5">
        <v>43592</v>
      </c>
      <c r="B55" s="12">
        <v>44207</v>
      </c>
      <c r="C55" s="12">
        <v>3066</v>
      </c>
      <c r="D55" s="12">
        <v>47273</v>
      </c>
      <c r="F55" s="5">
        <v>44323</v>
      </c>
      <c r="G55" s="12">
        <v>44704</v>
      </c>
      <c r="H55" s="12">
        <v>2871</v>
      </c>
      <c r="I55" s="12">
        <v>47575</v>
      </c>
      <c r="K55" s="5">
        <v>43595</v>
      </c>
      <c r="L55" s="5">
        <v>44323</v>
      </c>
      <c r="M55" s="12">
        <v>-3205</v>
      </c>
      <c r="N55" s="12">
        <v>2</v>
      </c>
      <c r="O55" s="12">
        <v>-3203</v>
      </c>
      <c r="P55" s="9">
        <v>-6.6897660147362759E-2</v>
      </c>
      <c r="Q55" s="9">
        <v>6.9710700592540142E-4</v>
      </c>
      <c r="R55" s="13">
        <v>-6.3078498562369578E-2</v>
      </c>
    </row>
    <row r="56" spans="1:18" x14ac:dyDescent="0.2">
      <c r="A56" s="5">
        <v>43593</v>
      </c>
      <c r="B56" s="12">
        <v>44168</v>
      </c>
      <c r="C56" s="12">
        <v>3170</v>
      </c>
      <c r="D56" s="12">
        <v>47338</v>
      </c>
      <c r="F56" s="5">
        <v>44324</v>
      </c>
      <c r="G56" s="12">
        <v>43107</v>
      </c>
      <c r="H56" s="12">
        <v>546</v>
      </c>
      <c r="I56" s="12">
        <v>43653</v>
      </c>
      <c r="K56" s="5">
        <v>43596</v>
      </c>
      <c r="L56" s="5">
        <v>44324</v>
      </c>
      <c r="M56" s="12">
        <v>645</v>
      </c>
      <c r="N56" s="12">
        <v>-12</v>
      </c>
      <c r="O56" s="12">
        <v>633</v>
      </c>
      <c r="P56" s="9">
        <v>1.5190052282040511E-2</v>
      </c>
      <c r="Q56" s="9">
        <v>-2.1505376344086002E-2</v>
      </c>
      <c r="R56" s="13">
        <v>1.4714086471408594E-2</v>
      </c>
    </row>
    <row r="57" spans="1:18" x14ac:dyDescent="0.2">
      <c r="A57" s="5">
        <v>43594</v>
      </c>
      <c r="B57" s="12">
        <v>45035</v>
      </c>
      <c r="C57" s="12">
        <v>3039</v>
      </c>
      <c r="D57" s="12">
        <v>48074</v>
      </c>
      <c r="F57" s="5">
        <v>44325</v>
      </c>
      <c r="G57" s="12">
        <v>39032</v>
      </c>
      <c r="H57" s="12">
        <v>141</v>
      </c>
      <c r="I57" s="12">
        <v>39173</v>
      </c>
      <c r="K57" s="5">
        <v>43597</v>
      </c>
      <c r="L57" s="5">
        <v>44325</v>
      </c>
      <c r="M57" s="12">
        <v>913</v>
      </c>
      <c r="N57" s="12">
        <v>-33</v>
      </c>
      <c r="O57" s="12">
        <v>880</v>
      </c>
      <c r="P57" s="9">
        <v>2.395131037015652E-2</v>
      </c>
      <c r="Q57" s="9">
        <v>-0.18965517241379315</v>
      </c>
      <c r="R57" s="13">
        <v>2.2980701433682471E-2</v>
      </c>
    </row>
    <row r="58" spans="1:18" x14ac:dyDescent="0.2">
      <c r="A58" s="5">
        <v>43595</v>
      </c>
      <c r="B58" s="12">
        <v>47909</v>
      </c>
      <c r="C58" s="12">
        <v>2869</v>
      </c>
      <c r="D58" s="12">
        <v>50778</v>
      </c>
      <c r="F58" s="5">
        <v>44326</v>
      </c>
      <c r="G58" s="12">
        <v>39439</v>
      </c>
      <c r="H58" s="12">
        <v>3103</v>
      </c>
      <c r="I58" s="12">
        <v>42542</v>
      </c>
      <c r="K58" s="5">
        <v>43598</v>
      </c>
      <c r="L58" s="5">
        <v>44326</v>
      </c>
      <c r="M58" s="12">
        <v>-4504</v>
      </c>
      <c r="N58" s="12">
        <v>58</v>
      </c>
      <c r="O58" s="12">
        <v>-4446</v>
      </c>
      <c r="P58" s="9">
        <v>-0.10249641581139202</v>
      </c>
      <c r="Q58" s="9">
        <v>1.904761904761898E-2</v>
      </c>
      <c r="R58" s="13">
        <v>-9.4619902953945734E-2</v>
      </c>
    </row>
    <row r="59" spans="1:18" x14ac:dyDescent="0.2">
      <c r="A59" s="5">
        <v>43596</v>
      </c>
      <c r="B59" s="12">
        <v>42462</v>
      </c>
      <c r="C59" s="12">
        <v>558</v>
      </c>
      <c r="D59" s="12">
        <v>43020</v>
      </c>
      <c r="F59" s="5">
        <v>44327</v>
      </c>
      <c r="G59" s="12">
        <v>40564</v>
      </c>
      <c r="H59" s="12">
        <v>3268</v>
      </c>
      <c r="I59" s="12">
        <v>43832</v>
      </c>
      <c r="K59" s="5">
        <v>43599</v>
      </c>
      <c r="L59" s="5">
        <v>44327</v>
      </c>
      <c r="M59" s="12">
        <v>-3537</v>
      </c>
      <c r="N59" s="12">
        <v>146</v>
      </c>
      <c r="O59" s="12">
        <v>-3391</v>
      </c>
      <c r="P59" s="9">
        <v>-8.0202262987233874E-2</v>
      </c>
      <c r="Q59" s="9">
        <v>4.6764894298526594E-2</v>
      </c>
      <c r="R59" s="13">
        <v>-7.1808229040933425E-2</v>
      </c>
    </row>
    <row r="60" spans="1:18" x14ac:dyDescent="0.2">
      <c r="A60" s="5">
        <v>43597</v>
      </c>
      <c r="B60" s="12">
        <v>38119</v>
      </c>
      <c r="C60" s="12">
        <v>174</v>
      </c>
      <c r="D60" s="12">
        <v>38293</v>
      </c>
      <c r="F60" s="5">
        <v>44328</v>
      </c>
      <c r="G60" s="12">
        <v>47176</v>
      </c>
      <c r="H60" s="12">
        <v>3474</v>
      </c>
      <c r="I60" s="12">
        <v>50650</v>
      </c>
      <c r="K60" s="5">
        <v>43600</v>
      </c>
      <c r="L60" s="5">
        <v>44328</v>
      </c>
      <c r="M60" s="12">
        <v>1647</v>
      </c>
      <c r="N60" s="12">
        <v>321</v>
      </c>
      <c r="O60" s="12">
        <v>1968</v>
      </c>
      <c r="P60" s="9">
        <v>3.6174745766434535E-2</v>
      </c>
      <c r="Q60" s="9">
        <v>0.10180780209324447</v>
      </c>
      <c r="R60" s="13">
        <v>4.0425619325417994E-2</v>
      </c>
    </row>
    <row r="61" spans="1:18" x14ac:dyDescent="0.2">
      <c r="A61" s="5">
        <v>43598</v>
      </c>
      <c r="B61" s="12">
        <v>43943</v>
      </c>
      <c r="C61" s="12">
        <v>3045</v>
      </c>
      <c r="D61" s="12">
        <v>46988</v>
      </c>
      <c r="F61" s="5">
        <v>44329</v>
      </c>
      <c r="G61" s="12">
        <v>34115</v>
      </c>
      <c r="H61" s="12">
        <v>215</v>
      </c>
      <c r="I61" s="12">
        <v>34330</v>
      </c>
      <c r="K61" s="5">
        <v>43601</v>
      </c>
      <c r="L61" s="5">
        <v>44329</v>
      </c>
      <c r="M61" s="12">
        <v>-11820</v>
      </c>
      <c r="N61" s="12">
        <v>-2851</v>
      </c>
      <c r="O61" s="12">
        <v>-14671</v>
      </c>
      <c r="P61" s="9">
        <v>-0.25732012626537504</v>
      </c>
      <c r="Q61" s="9">
        <v>-0.92987606001304635</v>
      </c>
      <c r="R61" s="13">
        <v>-0.2994020530193261</v>
      </c>
    </row>
    <row r="62" spans="1:18" x14ac:dyDescent="0.2">
      <c r="A62" s="5">
        <v>43599</v>
      </c>
      <c r="B62" s="12">
        <v>44101</v>
      </c>
      <c r="C62" s="12">
        <v>3122</v>
      </c>
      <c r="D62" s="12">
        <v>47223</v>
      </c>
      <c r="F62" s="5">
        <v>44330</v>
      </c>
      <c r="G62" s="12">
        <v>42022</v>
      </c>
      <c r="H62" s="12">
        <v>2175</v>
      </c>
      <c r="I62" s="12">
        <v>44197</v>
      </c>
      <c r="K62" s="5">
        <v>43602</v>
      </c>
      <c r="L62" s="5">
        <v>44330</v>
      </c>
      <c r="M62" s="12">
        <v>-5637</v>
      </c>
      <c r="N62" s="12">
        <v>-723</v>
      </c>
      <c r="O62" s="12">
        <v>-6360</v>
      </c>
      <c r="P62" s="9">
        <v>-0.11827776495520259</v>
      </c>
      <c r="Q62" s="9">
        <v>-0.24948240165631475</v>
      </c>
      <c r="R62" s="13">
        <v>-0.12579860355638195</v>
      </c>
    </row>
    <row r="63" spans="1:18" x14ac:dyDescent="0.2">
      <c r="A63" s="5">
        <v>43600</v>
      </c>
      <c r="B63" s="12">
        <v>45529</v>
      </c>
      <c r="C63" s="12">
        <v>3153</v>
      </c>
      <c r="D63" s="12">
        <v>48682</v>
      </c>
      <c r="F63" s="5">
        <v>44331</v>
      </c>
      <c r="G63" s="12">
        <v>37928</v>
      </c>
      <c r="H63" s="12">
        <v>531</v>
      </c>
      <c r="I63" s="12">
        <v>38459</v>
      </c>
      <c r="K63" s="5">
        <v>43603</v>
      </c>
      <c r="L63" s="5">
        <v>44331</v>
      </c>
      <c r="M63" s="12">
        <v>-5776</v>
      </c>
      <c r="N63" s="12">
        <v>-61</v>
      </c>
      <c r="O63" s="12">
        <v>-5837</v>
      </c>
      <c r="P63" s="9">
        <v>-0.13216181585209597</v>
      </c>
      <c r="Q63" s="9">
        <v>-0.10304054054054057</v>
      </c>
      <c r="R63" s="13">
        <v>-0.13177262055264582</v>
      </c>
    </row>
    <row r="64" spans="1:18" x14ac:dyDescent="0.2">
      <c r="A64" s="5">
        <v>43601</v>
      </c>
      <c r="B64" s="12">
        <v>45935</v>
      </c>
      <c r="C64" s="12">
        <v>3066</v>
      </c>
      <c r="D64" s="12">
        <v>49001</v>
      </c>
      <c r="F64" s="5">
        <v>44332</v>
      </c>
      <c r="G64" s="12">
        <v>30916</v>
      </c>
      <c r="H64" s="12">
        <v>162</v>
      </c>
      <c r="I64" s="12">
        <v>31078</v>
      </c>
      <c r="K64" s="5">
        <v>43604</v>
      </c>
      <c r="L64" s="5">
        <v>44332</v>
      </c>
      <c r="M64" s="12">
        <v>-4864</v>
      </c>
      <c r="N64" s="12">
        <v>13</v>
      </c>
      <c r="O64" s="12">
        <v>-4851</v>
      </c>
      <c r="P64" s="9">
        <v>-0.13594186696478483</v>
      </c>
      <c r="Q64" s="9">
        <v>8.7248322147650992E-2</v>
      </c>
      <c r="R64" s="13">
        <v>-0.13501628211194305</v>
      </c>
    </row>
    <row r="65" spans="1:18" x14ac:dyDescent="0.2">
      <c r="A65" s="5">
        <v>43602</v>
      </c>
      <c r="B65" s="12">
        <v>47659</v>
      </c>
      <c r="C65" s="12">
        <v>2898</v>
      </c>
      <c r="D65" s="12">
        <v>50557</v>
      </c>
      <c r="F65" s="5">
        <v>44333</v>
      </c>
      <c r="G65" s="12">
        <v>40538</v>
      </c>
      <c r="H65" s="12">
        <v>3075</v>
      </c>
      <c r="I65" s="12">
        <v>43613</v>
      </c>
      <c r="K65" s="5">
        <v>43605</v>
      </c>
      <c r="L65" s="5">
        <v>44333</v>
      </c>
      <c r="M65" s="12">
        <v>-1807</v>
      </c>
      <c r="N65" s="12">
        <v>107</v>
      </c>
      <c r="O65" s="12">
        <v>-1700</v>
      </c>
      <c r="P65" s="9">
        <v>-4.2673279017593546E-2</v>
      </c>
      <c r="Q65" s="9">
        <v>3.6051212938005284E-2</v>
      </c>
      <c r="R65" s="13">
        <v>-3.7516827400525199E-2</v>
      </c>
    </row>
    <row r="66" spans="1:18" x14ac:dyDescent="0.2">
      <c r="A66" s="5">
        <v>43603</v>
      </c>
      <c r="B66" s="12">
        <v>43704</v>
      </c>
      <c r="C66" s="12">
        <v>592</v>
      </c>
      <c r="D66" s="12">
        <v>44296</v>
      </c>
      <c r="F66" s="5">
        <v>44334</v>
      </c>
      <c r="G66" s="12">
        <v>40770</v>
      </c>
      <c r="H66" s="12">
        <v>3095</v>
      </c>
      <c r="I66" s="12">
        <v>43865</v>
      </c>
      <c r="K66" s="5">
        <v>43606</v>
      </c>
      <c r="L66" s="5">
        <v>44334</v>
      </c>
      <c r="M66" s="12">
        <v>-2736</v>
      </c>
      <c r="N66" s="12">
        <v>61</v>
      </c>
      <c r="O66" s="12">
        <v>-2675</v>
      </c>
      <c r="P66" s="9">
        <v>-6.2887877534133274E-2</v>
      </c>
      <c r="Q66" s="9">
        <v>2.0105471324983526E-2</v>
      </c>
      <c r="R66" s="13">
        <v>-5.7477438762355004E-2</v>
      </c>
    </row>
    <row r="67" spans="1:18" x14ac:dyDescent="0.2">
      <c r="A67" s="5">
        <v>43604</v>
      </c>
      <c r="B67" s="12">
        <v>35780</v>
      </c>
      <c r="C67" s="12">
        <v>149</v>
      </c>
      <c r="D67" s="12">
        <v>35929</v>
      </c>
      <c r="F67" s="5">
        <v>44335</v>
      </c>
      <c r="G67" s="12">
        <v>41707</v>
      </c>
      <c r="H67" s="12">
        <v>3302</v>
      </c>
      <c r="I67" s="12">
        <v>45009</v>
      </c>
      <c r="K67" s="5">
        <v>43607</v>
      </c>
      <c r="L67" s="5">
        <v>44335</v>
      </c>
      <c r="M67" s="12">
        <v>-3348</v>
      </c>
      <c r="N67" s="12">
        <v>157</v>
      </c>
      <c r="O67" s="12">
        <v>-3191</v>
      </c>
      <c r="P67" s="9">
        <v>-7.4309177671734505E-2</v>
      </c>
      <c r="Q67" s="9">
        <v>4.9920508744038194E-2</v>
      </c>
      <c r="R67" s="13">
        <v>-6.6203319502074698E-2</v>
      </c>
    </row>
    <row r="68" spans="1:18" x14ac:dyDescent="0.2">
      <c r="A68" s="5">
        <v>43605</v>
      </c>
      <c r="B68" s="12">
        <v>42345</v>
      </c>
      <c r="C68" s="12">
        <v>2968</v>
      </c>
      <c r="D68" s="12">
        <v>45313</v>
      </c>
      <c r="F68" s="5">
        <v>44336</v>
      </c>
      <c r="G68" s="12">
        <v>43437</v>
      </c>
      <c r="H68" s="12">
        <v>3207</v>
      </c>
      <c r="I68" s="12">
        <v>46644</v>
      </c>
      <c r="K68" s="5">
        <v>43608</v>
      </c>
      <c r="L68" s="5">
        <v>44336</v>
      </c>
      <c r="M68" s="12">
        <v>-841</v>
      </c>
      <c r="N68" s="12">
        <v>196</v>
      </c>
      <c r="O68" s="12">
        <v>-645</v>
      </c>
      <c r="P68" s="9">
        <v>-1.8993631148651713E-2</v>
      </c>
      <c r="Q68" s="9">
        <v>6.5094652939222897E-2</v>
      </c>
      <c r="R68" s="13">
        <v>-1.3639535621391863E-2</v>
      </c>
    </row>
    <row r="69" spans="1:18" x14ac:dyDescent="0.2">
      <c r="A69" s="5">
        <v>43606</v>
      </c>
      <c r="B69" s="12">
        <v>43506</v>
      </c>
      <c r="C69" s="12">
        <v>3034</v>
      </c>
      <c r="D69" s="12">
        <v>46540</v>
      </c>
      <c r="F69" s="5">
        <v>44337</v>
      </c>
      <c r="G69" s="12">
        <v>47478</v>
      </c>
      <c r="H69" s="12">
        <v>3097</v>
      </c>
      <c r="I69" s="12">
        <v>50575</v>
      </c>
      <c r="K69" s="5">
        <v>43609</v>
      </c>
      <c r="L69" s="5">
        <v>44337</v>
      </c>
      <c r="M69" s="12">
        <v>-1755</v>
      </c>
      <c r="N69" s="12">
        <v>79</v>
      </c>
      <c r="O69" s="12">
        <v>-1676</v>
      </c>
      <c r="P69" s="9">
        <v>-3.5646822253366683E-2</v>
      </c>
      <c r="Q69" s="9">
        <v>2.6176275679257843E-2</v>
      </c>
      <c r="R69" s="13">
        <v>-3.2075941130313312E-2</v>
      </c>
    </row>
    <row r="70" spans="1:18" x14ac:dyDescent="0.2">
      <c r="A70" s="5">
        <v>43607</v>
      </c>
      <c r="B70" s="12">
        <v>45055</v>
      </c>
      <c r="C70" s="12">
        <v>3145</v>
      </c>
      <c r="D70" s="12">
        <v>48200</v>
      </c>
      <c r="F70" s="5">
        <v>44338</v>
      </c>
      <c r="G70" s="12">
        <v>43595</v>
      </c>
      <c r="H70" s="12">
        <v>633</v>
      </c>
      <c r="I70" s="12">
        <v>44228</v>
      </c>
      <c r="K70" s="5">
        <v>43610</v>
      </c>
      <c r="L70" s="5">
        <v>44338</v>
      </c>
      <c r="M70" s="12">
        <v>-2202</v>
      </c>
      <c r="N70" s="12">
        <v>2</v>
      </c>
      <c r="O70" s="12">
        <v>-2200</v>
      </c>
      <c r="P70" s="9">
        <v>-4.8081752079830564E-2</v>
      </c>
      <c r="Q70" s="9">
        <v>3.1695721077653616E-3</v>
      </c>
      <c r="R70" s="13">
        <v>-4.7385198587059585E-2</v>
      </c>
    </row>
    <row r="71" spans="1:18" x14ac:dyDescent="0.2">
      <c r="A71" s="5">
        <v>43608</v>
      </c>
      <c r="B71" s="12">
        <v>44278</v>
      </c>
      <c r="C71" s="12">
        <v>3011</v>
      </c>
      <c r="D71" s="12">
        <v>47289</v>
      </c>
      <c r="F71" s="5">
        <v>44339</v>
      </c>
      <c r="G71" s="12">
        <v>35473</v>
      </c>
      <c r="H71" s="12">
        <v>96</v>
      </c>
      <c r="I71" s="12">
        <v>35569</v>
      </c>
      <c r="K71" s="5">
        <v>43611</v>
      </c>
      <c r="L71" s="5">
        <v>44339</v>
      </c>
      <c r="M71" s="12">
        <v>-2945</v>
      </c>
      <c r="N71" s="12">
        <v>-101</v>
      </c>
      <c r="O71" s="12">
        <v>-3046</v>
      </c>
      <c r="P71" s="9">
        <v>-7.665677546983185E-2</v>
      </c>
      <c r="Q71" s="9">
        <v>-0.51269035532994922</v>
      </c>
      <c r="R71" s="13">
        <v>-7.8881263757607178E-2</v>
      </c>
    </row>
    <row r="72" spans="1:18" x14ac:dyDescent="0.2">
      <c r="A72" s="5">
        <v>43609</v>
      </c>
      <c r="B72" s="12">
        <v>49233</v>
      </c>
      <c r="C72" s="12">
        <v>3018</v>
      </c>
      <c r="D72" s="12">
        <v>52251</v>
      </c>
      <c r="F72" s="5">
        <v>44340</v>
      </c>
      <c r="G72" s="12">
        <v>30512</v>
      </c>
      <c r="H72" s="12">
        <v>219</v>
      </c>
      <c r="I72" s="12">
        <v>30731</v>
      </c>
      <c r="K72" s="5">
        <v>43612</v>
      </c>
      <c r="L72" s="5">
        <v>44340</v>
      </c>
      <c r="M72" s="12">
        <v>-12857</v>
      </c>
      <c r="N72" s="12">
        <v>-2730</v>
      </c>
      <c r="O72" s="12">
        <v>-15587</v>
      </c>
      <c r="P72" s="9">
        <v>-0.29645599391270261</v>
      </c>
      <c r="Q72" s="9">
        <v>-0.92573753814852489</v>
      </c>
      <c r="R72" s="13">
        <v>-0.33652143874951423</v>
      </c>
    </row>
    <row r="73" spans="1:18" x14ac:dyDescent="0.2">
      <c r="A73" s="5">
        <v>43610</v>
      </c>
      <c r="B73" s="12">
        <v>45797</v>
      </c>
      <c r="C73" s="12">
        <v>631</v>
      </c>
      <c r="D73" s="12">
        <v>46428</v>
      </c>
      <c r="F73" s="5">
        <v>44341</v>
      </c>
      <c r="G73" s="12">
        <v>40995</v>
      </c>
      <c r="H73" s="12">
        <v>3032</v>
      </c>
      <c r="I73" s="12">
        <v>44027</v>
      </c>
      <c r="K73" s="5">
        <v>43613</v>
      </c>
      <c r="L73" s="5">
        <v>44341</v>
      </c>
      <c r="M73" s="12">
        <v>-4051</v>
      </c>
      <c r="N73" s="12">
        <v>-379</v>
      </c>
      <c r="O73" s="12">
        <v>-4430</v>
      </c>
      <c r="P73" s="9">
        <v>-8.9930293477778256E-2</v>
      </c>
      <c r="Q73" s="9">
        <v>-0.11111111111111116</v>
      </c>
      <c r="R73" s="13">
        <v>-9.1421260086262057E-2</v>
      </c>
    </row>
    <row r="74" spans="1:18" x14ac:dyDescent="0.2">
      <c r="A74" s="5">
        <v>43611</v>
      </c>
      <c r="B74" s="12">
        <v>38418</v>
      </c>
      <c r="C74" s="12">
        <v>197</v>
      </c>
      <c r="D74" s="12">
        <v>38615</v>
      </c>
      <c r="F74" s="5">
        <v>44342</v>
      </c>
      <c r="G74" s="12">
        <v>43085</v>
      </c>
      <c r="H74" s="12">
        <v>3298</v>
      </c>
      <c r="I74" s="12">
        <v>46383</v>
      </c>
      <c r="K74" s="5">
        <v>43614</v>
      </c>
      <c r="L74" s="5">
        <v>44342</v>
      </c>
      <c r="M74" s="12">
        <v>-5108</v>
      </c>
      <c r="N74" s="12">
        <v>112</v>
      </c>
      <c r="O74" s="12">
        <v>-4996</v>
      </c>
      <c r="P74" s="9">
        <v>-0.10599049654514137</v>
      </c>
      <c r="Q74" s="9">
        <v>3.5153797865662195E-2</v>
      </c>
      <c r="R74" s="13">
        <v>-9.7238171237275961E-2</v>
      </c>
    </row>
    <row r="75" spans="1:18" x14ac:dyDescent="0.2">
      <c r="A75" s="5">
        <v>43612</v>
      </c>
      <c r="B75" s="12">
        <v>43369</v>
      </c>
      <c r="C75" s="12">
        <v>2949</v>
      </c>
      <c r="D75" s="12">
        <v>46318</v>
      </c>
      <c r="F75" s="5">
        <v>44343</v>
      </c>
      <c r="G75" s="12">
        <v>43165</v>
      </c>
      <c r="H75" s="12">
        <v>3412</v>
      </c>
      <c r="I75" s="12">
        <v>46577</v>
      </c>
      <c r="K75" s="5">
        <v>43615</v>
      </c>
      <c r="L75" s="5">
        <v>44343</v>
      </c>
      <c r="M75" s="12">
        <v>3924</v>
      </c>
      <c r="N75" s="12">
        <v>3116</v>
      </c>
      <c r="O75" s="12">
        <v>7040</v>
      </c>
      <c r="P75" s="9">
        <v>9.9997451644963098E-2</v>
      </c>
      <c r="Q75" s="9">
        <v>10.527027027027026</v>
      </c>
      <c r="R75" s="13">
        <v>0.17806105673166917</v>
      </c>
    </row>
    <row r="76" spans="1:18" x14ac:dyDescent="0.2">
      <c r="A76" s="5">
        <v>43613</v>
      </c>
      <c r="B76" s="12">
        <v>45046</v>
      </c>
      <c r="C76" s="12">
        <v>3411</v>
      </c>
      <c r="D76" s="12">
        <v>48457</v>
      </c>
      <c r="F76" s="5">
        <v>44344</v>
      </c>
      <c r="G76" s="12">
        <v>48753</v>
      </c>
      <c r="H76" s="12">
        <v>3146</v>
      </c>
      <c r="I76" s="12">
        <v>51899</v>
      </c>
      <c r="K76" s="5">
        <v>43616</v>
      </c>
      <c r="L76" s="5">
        <v>44344</v>
      </c>
      <c r="M76" s="12">
        <v>7482</v>
      </c>
      <c r="N76" s="12">
        <v>1058</v>
      </c>
      <c r="O76" s="12">
        <v>8540</v>
      </c>
      <c r="P76" s="9">
        <v>0.18128952533255793</v>
      </c>
      <c r="Q76" s="9">
        <v>0.50670498084291182</v>
      </c>
      <c r="R76" s="13">
        <v>0.19696026199866234</v>
      </c>
    </row>
    <row r="77" spans="1:18" x14ac:dyDescent="0.2">
      <c r="A77" s="5">
        <v>43614</v>
      </c>
      <c r="B77" s="12">
        <v>48193</v>
      </c>
      <c r="C77" s="12">
        <v>3186</v>
      </c>
      <c r="D77" s="12">
        <v>51379</v>
      </c>
      <c r="F77" s="5">
        <v>44345</v>
      </c>
      <c r="G77" s="12">
        <v>44835</v>
      </c>
      <c r="H77" s="12">
        <v>591</v>
      </c>
      <c r="I77" s="12">
        <v>45426</v>
      </c>
      <c r="K77" s="5">
        <v>43617</v>
      </c>
      <c r="L77" s="5">
        <v>44345</v>
      </c>
      <c r="M77" s="12">
        <v>5073</v>
      </c>
      <c r="N77" s="12">
        <v>19</v>
      </c>
      <c r="O77" s="12">
        <v>5092</v>
      </c>
      <c r="P77" s="9">
        <v>0.12758412554700471</v>
      </c>
      <c r="Q77" s="9">
        <v>3.3216783216783119E-2</v>
      </c>
      <c r="R77" s="13">
        <v>0.12624584717607967</v>
      </c>
    </row>
    <row r="78" spans="1:18" x14ac:dyDescent="0.2">
      <c r="A78" s="5">
        <v>43615</v>
      </c>
      <c r="B78" s="12">
        <v>39241</v>
      </c>
      <c r="C78" s="12">
        <v>296</v>
      </c>
      <c r="D78" s="12">
        <v>39537</v>
      </c>
      <c r="F78" s="5">
        <v>44346</v>
      </c>
      <c r="G78" s="12">
        <v>38858</v>
      </c>
      <c r="H78" s="12">
        <v>169</v>
      </c>
      <c r="I78" s="12">
        <v>39027</v>
      </c>
      <c r="K78" s="5">
        <v>43618</v>
      </c>
      <c r="L78" s="5">
        <v>44346</v>
      </c>
      <c r="M78" s="12">
        <v>1480</v>
      </c>
      <c r="N78" s="12">
        <v>-78</v>
      </c>
      <c r="O78" s="12">
        <v>1402</v>
      </c>
      <c r="P78" s="9">
        <v>3.9595483974530499E-2</v>
      </c>
      <c r="Q78" s="9">
        <v>-0.31578947368421051</v>
      </c>
      <c r="R78" s="13">
        <v>3.7262458471760906E-2</v>
      </c>
    </row>
    <row r="79" spans="1:18" x14ac:dyDescent="0.2">
      <c r="A79" s="5">
        <v>43616</v>
      </c>
      <c r="B79" s="12">
        <v>41271</v>
      </c>
      <c r="C79" s="12">
        <v>2088</v>
      </c>
      <c r="D79" s="12">
        <v>43359</v>
      </c>
      <c r="F79" s="5">
        <v>44347</v>
      </c>
      <c r="G79" s="12">
        <v>41967</v>
      </c>
      <c r="H79" s="12">
        <v>3014</v>
      </c>
      <c r="I79" s="12">
        <v>44981</v>
      </c>
      <c r="K79" s="5">
        <v>43619</v>
      </c>
      <c r="L79" s="5">
        <v>44347</v>
      </c>
      <c r="M79" s="12">
        <f t="shared" ref="M79:O79" si="2">G79-B82</f>
        <v>-1232</v>
      </c>
      <c r="N79" s="12">
        <f t="shared" si="2"/>
        <v>19</v>
      </c>
      <c r="O79" s="12">
        <f t="shared" si="2"/>
        <v>-1213</v>
      </c>
      <c r="P79" s="9">
        <f t="shared" ref="P79:R79" si="3">G79/B82-1</f>
        <v>-2.8519178684691782E-2</v>
      </c>
      <c r="Q79" s="9">
        <f t="shared" si="3"/>
        <v>6.3439065108514825E-3</v>
      </c>
      <c r="R79" s="13">
        <f t="shared" si="3"/>
        <v>-2.6258821491968676E-2</v>
      </c>
    </row>
    <row r="80" spans="1:18" x14ac:dyDescent="0.2">
      <c r="A80" s="5">
        <v>43617</v>
      </c>
      <c r="B80" s="12">
        <v>39762</v>
      </c>
      <c r="C80" s="12">
        <v>572</v>
      </c>
      <c r="D80" s="12">
        <v>40334</v>
      </c>
      <c r="F80" s="5"/>
      <c r="G80" s="12"/>
      <c r="H80" s="12"/>
      <c r="I80" s="12"/>
      <c r="L80" s="5"/>
      <c r="M80" s="12"/>
      <c r="N80" s="12"/>
      <c r="O80" s="12"/>
      <c r="P80" s="9"/>
      <c r="Q80" s="9"/>
      <c r="R80" s="13"/>
    </row>
    <row r="81" spans="1:18" x14ac:dyDescent="0.2">
      <c r="A81" s="5">
        <v>43618</v>
      </c>
      <c r="B81" s="12">
        <v>37378</v>
      </c>
      <c r="C81" s="12">
        <v>247</v>
      </c>
      <c r="D81" s="12">
        <v>37625</v>
      </c>
      <c r="F81" s="5"/>
      <c r="G81" s="12"/>
      <c r="H81" s="12"/>
      <c r="I81" s="12"/>
      <c r="K81" s="5"/>
      <c r="L81" s="5"/>
      <c r="M81" s="12"/>
      <c r="N81" s="12"/>
      <c r="O81" s="12"/>
      <c r="P81" s="9"/>
      <c r="Q81" s="9"/>
      <c r="R81" s="13"/>
    </row>
    <row r="82" spans="1:18" x14ac:dyDescent="0.2">
      <c r="A82" s="5">
        <v>43619</v>
      </c>
      <c r="B82" s="12">
        <v>43199</v>
      </c>
      <c r="C82" s="12">
        <v>2995</v>
      </c>
      <c r="D82" s="12">
        <v>46194</v>
      </c>
      <c r="F82" s="5"/>
      <c r="G82" s="12"/>
      <c r="H82" s="12"/>
      <c r="I82" s="12"/>
      <c r="K82" s="5"/>
      <c r="L82" s="5"/>
      <c r="M82" s="12"/>
      <c r="N82" s="12"/>
      <c r="O82" s="12"/>
      <c r="P82" s="9"/>
      <c r="Q82" s="9"/>
      <c r="R82" s="13"/>
    </row>
    <row r="83" spans="1:18" x14ac:dyDescent="0.2">
      <c r="A83" s="5"/>
      <c r="B83" s="2"/>
      <c r="C83" s="2"/>
      <c r="D83" s="2"/>
      <c r="F83" s="5"/>
      <c r="G83" s="2"/>
      <c r="H83" s="2"/>
      <c r="I83" s="2"/>
      <c r="L83" s="5"/>
      <c r="M83" s="2"/>
      <c r="N83" s="2"/>
      <c r="O83" s="2"/>
      <c r="P83" s="2"/>
      <c r="Q83" s="2"/>
      <c r="R83" s="14"/>
    </row>
    <row r="84" spans="1:18" x14ac:dyDescent="0.2">
      <c r="B84" s="2"/>
      <c r="C84" s="2"/>
      <c r="G84" s="2"/>
      <c r="H84" s="2"/>
    </row>
    <row r="85" spans="1:18" ht="12.95" customHeight="1" x14ac:dyDescent="0.2">
      <c r="A85" s="26" t="s">
        <v>36</v>
      </c>
      <c r="B85" s="6"/>
      <c r="C85" s="6"/>
      <c r="D85" s="3"/>
      <c r="F85" s="26" t="s">
        <v>36</v>
      </c>
      <c r="G85" s="6"/>
      <c r="H85" s="6"/>
      <c r="I85" s="3"/>
      <c r="K85" s="26" t="s">
        <v>37</v>
      </c>
      <c r="L85" s="26"/>
      <c r="M85" s="6"/>
      <c r="N85" s="6"/>
      <c r="O85" s="3"/>
      <c r="P85" s="6"/>
      <c r="Q85" s="6"/>
      <c r="R85" s="3"/>
    </row>
    <row r="86" spans="1:18" ht="27" customHeight="1" x14ac:dyDescent="0.2">
      <c r="A86" s="27"/>
      <c r="B86" s="8" t="s">
        <v>38</v>
      </c>
      <c r="C86" s="4" t="s">
        <v>2</v>
      </c>
      <c r="D86" s="4" t="s">
        <v>0</v>
      </c>
      <c r="F86" s="27"/>
      <c r="G86" s="8" t="s">
        <v>38</v>
      </c>
      <c r="H86" s="4" t="s">
        <v>2</v>
      </c>
      <c r="I86" s="4" t="s">
        <v>0</v>
      </c>
      <c r="K86" s="27"/>
      <c r="L86" s="27"/>
      <c r="M86" s="8" t="s">
        <v>38</v>
      </c>
      <c r="N86" s="4" t="s">
        <v>2</v>
      </c>
      <c r="O86" s="4" t="s">
        <v>0</v>
      </c>
      <c r="P86" s="8" t="s">
        <v>38</v>
      </c>
      <c r="Q86" s="4" t="s">
        <v>2</v>
      </c>
      <c r="R86" s="4" t="s">
        <v>0</v>
      </c>
    </row>
    <row r="87" spans="1:18" x14ac:dyDescent="0.2">
      <c r="A87" s="5">
        <v>43586</v>
      </c>
      <c r="B87" s="12">
        <v>37612</v>
      </c>
      <c r="C87" s="12">
        <v>1237</v>
      </c>
      <c r="D87" s="12">
        <v>38849</v>
      </c>
      <c r="F87" s="5">
        <v>44317</v>
      </c>
      <c r="G87" s="12">
        <v>34245</v>
      </c>
      <c r="H87" s="12">
        <v>421</v>
      </c>
      <c r="I87" s="12">
        <v>34666</v>
      </c>
      <c r="K87" s="5">
        <v>43589</v>
      </c>
      <c r="L87" s="5">
        <v>44317</v>
      </c>
      <c r="M87" s="12">
        <v>-6263</v>
      </c>
      <c r="N87" s="12">
        <v>-188</v>
      </c>
      <c r="O87" s="12">
        <v>-6451</v>
      </c>
      <c r="P87" s="9">
        <v>-0.1546114347783154</v>
      </c>
      <c r="Q87" s="9">
        <v>-0.30870279146141211</v>
      </c>
      <c r="R87" s="13">
        <v>-0.15689374224773212</v>
      </c>
    </row>
    <row r="88" spans="1:18" x14ac:dyDescent="0.2">
      <c r="A88" s="5">
        <v>43587</v>
      </c>
      <c r="B88" s="12">
        <v>41837</v>
      </c>
      <c r="C88" s="12">
        <v>3139</v>
      </c>
      <c r="D88" s="12">
        <v>44976</v>
      </c>
      <c r="F88" s="5">
        <v>44318</v>
      </c>
      <c r="G88" s="12">
        <v>30219</v>
      </c>
      <c r="H88" s="12">
        <v>149</v>
      </c>
      <c r="I88" s="12">
        <v>30368</v>
      </c>
      <c r="K88" s="5">
        <v>43590</v>
      </c>
      <c r="L88" s="5">
        <v>44318</v>
      </c>
      <c r="M88" s="12">
        <v>-3420</v>
      </c>
      <c r="N88" s="12">
        <v>-35</v>
      </c>
      <c r="O88" s="12">
        <v>-3455</v>
      </c>
      <c r="P88" s="9">
        <v>-0.10166770712565776</v>
      </c>
      <c r="Q88" s="9">
        <v>-0.19021739130434778</v>
      </c>
      <c r="R88" s="13">
        <v>-0.10214942494752088</v>
      </c>
    </row>
    <row r="89" spans="1:18" x14ac:dyDescent="0.2">
      <c r="A89" s="5">
        <v>43588</v>
      </c>
      <c r="B89" s="12">
        <v>43997</v>
      </c>
      <c r="C89" s="12">
        <v>2854</v>
      </c>
      <c r="D89" s="12">
        <v>46851</v>
      </c>
      <c r="F89" s="5">
        <v>44319</v>
      </c>
      <c r="G89" s="12">
        <v>38191</v>
      </c>
      <c r="H89" s="12">
        <v>3051</v>
      </c>
      <c r="I89" s="12">
        <v>41242</v>
      </c>
      <c r="K89" s="5">
        <v>43591</v>
      </c>
      <c r="L89" s="5">
        <v>44319</v>
      </c>
      <c r="M89" s="12">
        <v>-2888</v>
      </c>
      <c r="N89" s="12">
        <v>61</v>
      </c>
      <c r="O89" s="12">
        <v>-2827</v>
      </c>
      <c r="P89" s="9">
        <v>-7.0303561430414607E-2</v>
      </c>
      <c r="Q89" s="9">
        <v>2.0401337792642193E-2</v>
      </c>
      <c r="R89" s="13">
        <v>-6.4149402074020312E-2</v>
      </c>
    </row>
    <row r="90" spans="1:18" x14ac:dyDescent="0.2">
      <c r="A90" s="5">
        <v>43589</v>
      </c>
      <c r="B90" s="12">
        <v>40508</v>
      </c>
      <c r="C90" s="12">
        <v>609</v>
      </c>
      <c r="D90" s="12">
        <v>41117</v>
      </c>
      <c r="F90" s="5">
        <v>44320</v>
      </c>
      <c r="G90" s="12">
        <v>37965</v>
      </c>
      <c r="H90" s="12">
        <v>3189</v>
      </c>
      <c r="I90" s="12">
        <v>41154</v>
      </c>
      <c r="K90" s="5">
        <v>43592</v>
      </c>
      <c r="L90" s="5">
        <v>44320</v>
      </c>
      <c r="M90" s="12">
        <v>-3154</v>
      </c>
      <c r="N90" s="12">
        <v>177</v>
      </c>
      <c r="O90" s="12">
        <v>-2977</v>
      </c>
      <c r="P90" s="9">
        <v>-7.6704200004863887E-2</v>
      </c>
      <c r="Q90" s="9">
        <v>5.8764940239043773E-2</v>
      </c>
      <c r="R90" s="13">
        <v>-6.7458249303210871E-2</v>
      </c>
    </row>
    <row r="91" spans="1:18" x14ac:dyDescent="0.2">
      <c r="A91" s="5">
        <v>43590</v>
      </c>
      <c r="B91" s="12">
        <v>33639</v>
      </c>
      <c r="C91" s="12">
        <v>184</v>
      </c>
      <c r="D91" s="12">
        <v>33823</v>
      </c>
      <c r="F91" s="5">
        <v>44321</v>
      </c>
      <c r="G91" s="12">
        <v>37796</v>
      </c>
      <c r="H91" s="12">
        <v>3210</v>
      </c>
      <c r="I91" s="12">
        <v>41006</v>
      </c>
      <c r="K91" s="5">
        <v>43593</v>
      </c>
      <c r="L91" s="5">
        <v>44321</v>
      </c>
      <c r="M91" s="12">
        <v>-3002</v>
      </c>
      <c r="N91" s="12">
        <v>96</v>
      </c>
      <c r="O91" s="12">
        <v>-2906</v>
      </c>
      <c r="P91" s="9">
        <v>-7.3582038335212485E-2</v>
      </c>
      <c r="Q91" s="9">
        <v>3.0828516377649384E-2</v>
      </c>
      <c r="R91" s="13">
        <v>-6.6177810165786166E-2</v>
      </c>
    </row>
    <row r="92" spans="1:18" x14ac:dyDescent="0.2">
      <c r="A92" s="5">
        <v>43591</v>
      </c>
      <c r="B92" s="12">
        <v>41079</v>
      </c>
      <c r="C92" s="12">
        <v>2990</v>
      </c>
      <c r="D92" s="12">
        <v>44069</v>
      </c>
      <c r="F92" s="5">
        <v>44322</v>
      </c>
      <c r="G92" s="12">
        <v>38288</v>
      </c>
      <c r="H92" s="12">
        <v>3224</v>
      </c>
      <c r="I92" s="12">
        <v>41512</v>
      </c>
      <c r="K92" s="5">
        <v>43594</v>
      </c>
      <c r="L92" s="5">
        <v>44322</v>
      </c>
      <c r="M92" s="12">
        <v>-4172</v>
      </c>
      <c r="N92" s="12">
        <v>114</v>
      </c>
      <c r="O92" s="12">
        <v>-4058</v>
      </c>
      <c r="P92" s="9">
        <v>-9.8257183231276524E-2</v>
      </c>
      <c r="Q92" s="9">
        <v>3.6655948553054651E-2</v>
      </c>
      <c r="R92" s="13">
        <v>-8.9049813473776607E-2</v>
      </c>
    </row>
    <row r="93" spans="1:18" x14ac:dyDescent="0.2">
      <c r="A93" s="5">
        <v>43592</v>
      </c>
      <c r="B93" s="12">
        <v>41119</v>
      </c>
      <c r="C93" s="12">
        <v>3012</v>
      </c>
      <c r="D93" s="12">
        <v>44131</v>
      </c>
      <c r="F93" s="5">
        <v>44323</v>
      </c>
      <c r="G93" s="12">
        <v>41207</v>
      </c>
      <c r="H93" s="12">
        <v>2941</v>
      </c>
      <c r="I93" s="12">
        <v>44148</v>
      </c>
      <c r="K93" s="5">
        <v>43595</v>
      </c>
      <c r="L93" s="5">
        <v>44323</v>
      </c>
      <c r="M93" s="12">
        <v>-3778</v>
      </c>
      <c r="N93" s="12">
        <v>69</v>
      </c>
      <c r="O93" s="12">
        <v>-3709</v>
      </c>
      <c r="P93" s="9">
        <v>-8.3983550072246338E-2</v>
      </c>
      <c r="Q93" s="9">
        <v>2.4025069637882979E-2</v>
      </c>
      <c r="R93" s="13">
        <v>-7.7501723885742946E-2</v>
      </c>
    </row>
    <row r="94" spans="1:18" x14ac:dyDescent="0.2">
      <c r="A94" s="5">
        <v>43593</v>
      </c>
      <c r="B94" s="12">
        <v>40798</v>
      </c>
      <c r="C94" s="12">
        <v>3114</v>
      </c>
      <c r="D94" s="12">
        <v>43912</v>
      </c>
      <c r="F94" s="5">
        <v>44324</v>
      </c>
      <c r="G94" s="12">
        <v>42026</v>
      </c>
      <c r="H94" s="12">
        <v>654</v>
      </c>
      <c r="I94" s="12">
        <v>42680</v>
      </c>
      <c r="K94" s="5">
        <v>43596</v>
      </c>
      <c r="L94" s="5">
        <v>44324</v>
      </c>
      <c r="M94" s="12">
        <v>1003</v>
      </c>
      <c r="N94" s="12">
        <v>45</v>
      </c>
      <c r="O94" s="12">
        <v>1048</v>
      </c>
      <c r="P94" s="9">
        <v>2.444969894936988E-2</v>
      </c>
      <c r="Q94" s="9">
        <v>7.3891625615763568E-2</v>
      </c>
      <c r="R94" s="13">
        <v>2.5172943889316013E-2</v>
      </c>
    </row>
    <row r="95" spans="1:18" x14ac:dyDescent="0.2">
      <c r="A95" s="5">
        <v>43594</v>
      </c>
      <c r="B95" s="12">
        <v>42460</v>
      </c>
      <c r="C95" s="12">
        <v>3110</v>
      </c>
      <c r="D95" s="12">
        <v>45570</v>
      </c>
      <c r="F95" s="5">
        <v>44325</v>
      </c>
      <c r="G95" s="12">
        <v>41614</v>
      </c>
      <c r="H95" s="12">
        <v>222</v>
      </c>
      <c r="I95" s="12">
        <v>41836</v>
      </c>
      <c r="K95" s="5">
        <v>43597</v>
      </c>
      <c r="L95" s="5">
        <v>44325</v>
      </c>
      <c r="M95" s="12">
        <v>4656</v>
      </c>
      <c r="N95" s="12">
        <v>7</v>
      </c>
      <c r="O95" s="12">
        <v>4663</v>
      </c>
      <c r="P95" s="9">
        <v>0.12598084311921642</v>
      </c>
      <c r="Q95" s="9">
        <v>3.2558139534883734E-2</v>
      </c>
      <c r="R95" s="13">
        <v>0.12544050789551564</v>
      </c>
    </row>
    <row r="96" spans="1:18" x14ac:dyDescent="0.2">
      <c r="A96" s="5">
        <v>43595</v>
      </c>
      <c r="B96" s="12">
        <v>44985</v>
      </c>
      <c r="C96" s="12">
        <v>2872</v>
      </c>
      <c r="D96" s="12">
        <v>47857</v>
      </c>
      <c r="F96" s="5">
        <v>44326</v>
      </c>
      <c r="G96" s="12">
        <v>38005</v>
      </c>
      <c r="H96" s="12">
        <v>3204</v>
      </c>
      <c r="I96" s="12">
        <v>41209</v>
      </c>
      <c r="K96" s="5">
        <v>43598</v>
      </c>
      <c r="L96" s="5">
        <v>44326</v>
      </c>
      <c r="M96" s="12">
        <v>-3159</v>
      </c>
      <c r="N96" s="12">
        <v>175</v>
      </c>
      <c r="O96" s="12">
        <v>-2984</v>
      </c>
      <c r="P96" s="9">
        <v>-7.6741813234865397E-2</v>
      </c>
      <c r="Q96" s="9">
        <v>5.7774843182568425E-2</v>
      </c>
      <c r="R96" s="13">
        <v>-6.7522005747516545E-2</v>
      </c>
    </row>
    <row r="97" spans="1:18" x14ac:dyDescent="0.2">
      <c r="A97" s="5">
        <v>43596</v>
      </c>
      <c r="B97" s="12">
        <v>41023</v>
      </c>
      <c r="C97" s="12">
        <v>609</v>
      </c>
      <c r="D97" s="12">
        <v>41632</v>
      </c>
      <c r="F97" s="5">
        <v>44327</v>
      </c>
      <c r="G97" s="12">
        <v>37928</v>
      </c>
      <c r="H97" s="12">
        <v>3285</v>
      </c>
      <c r="I97" s="12">
        <v>41213</v>
      </c>
      <c r="K97" s="5">
        <v>43599</v>
      </c>
      <c r="L97" s="5">
        <v>44327</v>
      </c>
      <c r="M97" s="12">
        <v>-3534</v>
      </c>
      <c r="N97" s="12">
        <v>120</v>
      </c>
      <c r="O97" s="12">
        <v>-3414</v>
      </c>
      <c r="P97" s="9">
        <v>-8.523467271236318E-2</v>
      </c>
      <c r="Q97" s="9">
        <v>3.7914691943127909E-2</v>
      </c>
      <c r="R97" s="13">
        <v>-7.6500773074596129E-2</v>
      </c>
    </row>
    <row r="98" spans="1:18" x14ac:dyDescent="0.2">
      <c r="A98" s="5">
        <v>43597</v>
      </c>
      <c r="B98" s="12">
        <v>36958</v>
      </c>
      <c r="C98" s="12">
        <v>215</v>
      </c>
      <c r="D98" s="12">
        <v>37173</v>
      </c>
      <c r="F98" s="5">
        <v>44328</v>
      </c>
      <c r="G98" s="12">
        <v>40881</v>
      </c>
      <c r="H98" s="12">
        <v>3158</v>
      </c>
      <c r="I98" s="12">
        <v>44039</v>
      </c>
      <c r="K98" s="5">
        <v>43600</v>
      </c>
      <c r="L98" s="5">
        <v>44328</v>
      </c>
      <c r="M98" s="12">
        <v>-1308</v>
      </c>
      <c r="N98" s="12">
        <v>31</v>
      </c>
      <c r="O98" s="12">
        <v>-1277</v>
      </c>
      <c r="P98" s="9">
        <v>-3.100334210339184E-2</v>
      </c>
      <c r="Q98" s="9">
        <v>9.9136552606331474E-3</v>
      </c>
      <c r="R98" s="13">
        <v>-2.8179892311766208E-2</v>
      </c>
    </row>
    <row r="99" spans="1:18" x14ac:dyDescent="0.2">
      <c r="A99" s="5">
        <v>43598</v>
      </c>
      <c r="B99" s="12">
        <v>41164</v>
      </c>
      <c r="C99" s="12">
        <v>3029</v>
      </c>
      <c r="D99" s="12">
        <v>44193</v>
      </c>
      <c r="F99" s="5">
        <v>44329</v>
      </c>
      <c r="G99" s="12">
        <v>30335</v>
      </c>
      <c r="H99" s="12">
        <v>210</v>
      </c>
      <c r="I99" s="12">
        <v>30545</v>
      </c>
      <c r="K99" s="5">
        <v>43601</v>
      </c>
      <c r="L99" s="5">
        <v>44329</v>
      </c>
      <c r="M99" s="12">
        <v>-11934</v>
      </c>
      <c r="N99" s="12">
        <v>-2902</v>
      </c>
      <c r="O99" s="12">
        <v>-14836</v>
      </c>
      <c r="P99" s="9">
        <v>-0.28233457143533081</v>
      </c>
      <c r="Q99" s="9">
        <v>-0.93251928020565555</v>
      </c>
      <c r="R99" s="13">
        <v>-0.32692095811022237</v>
      </c>
    </row>
    <row r="100" spans="1:18" x14ac:dyDescent="0.2">
      <c r="A100" s="5">
        <v>43599</v>
      </c>
      <c r="B100" s="12">
        <v>41462</v>
      </c>
      <c r="C100" s="12">
        <v>3165</v>
      </c>
      <c r="D100" s="12">
        <v>44627</v>
      </c>
      <c r="F100" s="5">
        <v>44330</v>
      </c>
      <c r="G100" s="12">
        <v>39974</v>
      </c>
      <c r="H100" s="12">
        <v>2176</v>
      </c>
      <c r="I100" s="12">
        <v>42150</v>
      </c>
      <c r="K100" s="5">
        <v>43602</v>
      </c>
      <c r="L100" s="5">
        <v>44330</v>
      </c>
      <c r="M100" s="12">
        <v>-257</v>
      </c>
      <c r="N100" s="12">
        <v>-483</v>
      </c>
      <c r="O100" s="12">
        <v>-740</v>
      </c>
      <c r="P100" s="9">
        <v>-6.3881086724167924E-3</v>
      </c>
      <c r="Q100" s="9">
        <v>-0.1816472358029334</v>
      </c>
      <c r="R100" s="13">
        <v>-1.7253439030076922E-2</v>
      </c>
    </row>
    <row r="101" spans="1:18" x14ac:dyDescent="0.2">
      <c r="A101" s="5">
        <v>43600</v>
      </c>
      <c r="B101" s="12">
        <v>42189</v>
      </c>
      <c r="C101" s="12">
        <v>3127</v>
      </c>
      <c r="D101" s="12">
        <v>45316</v>
      </c>
      <c r="F101" s="5">
        <v>44331</v>
      </c>
      <c r="G101" s="12">
        <v>37352</v>
      </c>
      <c r="H101" s="12">
        <v>581</v>
      </c>
      <c r="I101" s="12">
        <v>37933</v>
      </c>
      <c r="K101" s="5">
        <v>43603</v>
      </c>
      <c r="L101" s="5">
        <v>44331</v>
      </c>
      <c r="M101" s="12">
        <v>-5063</v>
      </c>
      <c r="N101" s="12">
        <v>-72</v>
      </c>
      <c r="O101" s="12">
        <v>-5135</v>
      </c>
      <c r="P101" s="9">
        <v>-0.11936814806082752</v>
      </c>
      <c r="Q101" s="9">
        <v>-0.11026033690658499</v>
      </c>
      <c r="R101" s="13">
        <v>-0.11923005479706505</v>
      </c>
    </row>
    <row r="102" spans="1:18" x14ac:dyDescent="0.2">
      <c r="A102" s="5">
        <v>43601</v>
      </c>
      <c r="B102" s="12">
        <v>42269</v>
      </c>
      <c r="C102" s="12">
        <v>3112</v>
      </c>
      <c r="D102" s="12">
        <v>45381</v>
      </c>
      <c r="F102" s="5">
        <v>44332</v>
      </c>
      <c r="G102" s="12">
        <v>34596</v>
      </c>
      <c r="H102" s="12">
        <v>227</v>
      </c>
      <c r="I102" s="12">
        <v>34823</v>
      </c>
      <c r="K102" s="5">
        <v>43604</v>
      </c>
      <c r="L102" s="5">
        <v>44332</v>
      </c>
      <c r="M102" s="12">
        <v>-486</v>
      </c>
      <c r="N102" s="12">
        <v>-10</v>
      </c>
      <c r="O102" s="12">
        <v>-496</v>
      </c>
      <c r="P102" s="9">
        <v>-1.3853258081067188E-2</v>
      </c>
      <c r="Q102" s="9">
        <v>-4.2194092827004259E-2</v>
      </c>
      <c r="R102" s="13">
        <v>-1.4043432713270465E-2</v>
      </c>
    </row>
    <row r="103" spans="1:18" x14ac:dyDescent="0.2">
      <c r="A103" s="5">
        <v>43602</v>
      </c>
      <c r="B103" s="12">
        <v>40231</v>
      </c>
      <c r="C103" s="12">
        <v>2659</v>
      </c>
      <c r="D103" s="12">
        <v>42890</v>
      </c>
      <c r="F103" s="5">
        <v>44333</v>
      </c>
      <c r="G103" s="12">
        <v>38510</v>
      </c>
      <c r="H103" s="12">
        <v>3132</v>
      </c>
      <c r="I103" s="12">
        <v>41642</v>
      </c>
      <c r="K103" s="5">
        <v>43605</v>
      </c>
      <c r="L103" s="5">
        <v>44333</v>
      </c>
      <c r="M103" s="12">
        <v>-511</v>
      </c>
      <c r="N103" s="12">
        <v>177</v>
      </c>
      <c r="O103" s="12">
        <v>-334</v>
      </c>
      <c r="P103" s="9">
        <v>-1.3095512672663401E-2</v>
      </c>
      <c r="Q103" s="9">
        <v>5.9898477157360297E-2</v>
      </c>
      <c r="R103" s="13">
        <v>-7.9569277682485229E-3</v>
      </c>
    </row>
    <row r="104" spans="1:18" x14ac:dyDescent="0.2">
      <c r="A104" s="5">
        <v>43603</v>
      </c>
      <c r="B104" s="12">
        <v>42415</v>
      </c>
      <c r="C104" s="12">
        <v>653</v>
      </c>
      <c r="D104" s="12">
        <v>43068</v>
      </c>
      <c r="F104" s="5">
        <v>44334</v>
      </c>
      <c r="G104" s="12">
        <v>37710</v>
      </c>
      <c r="H104" s="12">
        <v>3128</v>
      </c>
      <c r="I104" s="12">
        <v>40838</v>
      </c>
      <c r="K104" s="5">
        <v>43606</v>
      </c>
      <c r="L104" s="5">
        <v>44334</v>
      </c>
      <c r="M104" s="12">
        <v>-2589</v>
      </c>
      <c r="N104" s="12">
        <v>117</v>
      </c>
      <c r="O104" s="12">
        <v>-2472</v>
      </c>
      <c r="P104" s="9">
        <v>-6.4244770341695845E-2</v>
      </c>
      <c r="Q104" s="9">
        <v>3.8857522417801382E-2</v>
      </c>
      <c r="R104" s="13">
        <v>-5.7076887554837197E-2</v>
      </c>
    </row>
    <row r="105" spans="1:18" x14ac:dyDescent="0.2">
      <c r="A105" s="5">
        <v>43604</v>
      </c>
      <c r="B105" s="12">
        <v>35082</v>
      </c>
      <c r="C105" s="12">
        <v>237</v>
      </c>
      <c r="D105" s="12">
        <v>35319</v>
      </c>
      <c r="F105" s="5">
        <v>44335</v>
      </c>
      <c r="G105" s="12">
        <v>39418</v>
      </c>
      <c r="H105" s="12">
        <v>3342</v>
      </c>
      <c r="I105" s="12">
        <v>42760</v>
      </c>
      <c r="K105" s="5">
        <v>43607</v>
      </c>
      <c r="L105" s="5">
        <v>44335</v>
      </c>
      <c r="M105" s="12">
        <v>-3217</v>
      </c>
      <c r="N105" s="12">
        <v>153</v>
      </c>
      <c r="O105" s="12">
        <v>-3064</v>
      </c>
      <c r="P105" s="9">
        <v>-7.545443884132752E-2</v>
      </c>
      <c r="Q105" s="9">
        <v>4.7977422389463786E-2</v>
      </c>
      <c r="R105" s="13">
        <v>-6.6864525139664788E-2</v>
      </c>
    </row>
    <row r="106" spans="1:18" x14ac:dyDescent="0.2">
      <c r="A106" s="5">
        <v>43605</v>
      </c>
      <c r="B106" s="12">
        <v>39021</v>
      </c>
      <c r="C106" s="12">
        <v>2955</v>
      </c>
      <c r="D106" s="12">
        <v>41976</v>
      </c>
      <c r="F106" s="5">
        <v>44336</v>
      </c>
      <c r="G106" s="12">
        <v>40004</v>
      </c>
      <c r="H106" s="12">
        <v>3328</v>
      </c>
      <c r="I106" s="12">
        <v>43332</v>
      </c>
      <c r="K106" s="5">
        <v>43608</v>
      </c>
      <c r="L106" s="5">
        <v>44336</v>
      </c>
      <c r="M106" s="12">
        <v>-3160</v>
      </c>
      <c r="N106" s="12">
        <v>83</v>
      </c>
      <c r="O106" s="12">
        <v>-3077</v>
      </c>
      <c r="P106" s="9">
        <v>-7.3209155777963164E-2</v>
      </c>
      <c r="Q106" s="9">
        <v>2.5577812018489965E-2</v>
      </c>
      <c r="R106" s="13">
        <v>-6.6301794910469947E-2</v>
      </c>
    </row>
    <row r="107" spans="1:18" x14ac:dyDescent="0.2">
      <c r="A107" s="5">
        <v>43606</v>
      </c>
      <c r="B107" s="12">
        <v>40299</v>
      </c>
      <c r="C107" s="12">
        <v>3011</v>
      </c>
      <c r="D107" s="12">
        <v>43310</v>
      </c>
      <c r="F107" s="5">
        <v>44337</v>
      </c>
      <c r="G107" s="12">
        <v>41556</v>
      </c>
      <c r="H107" s="12">
        <v>3071</v>
      </c>
      <c r="I107" s="12">
        <v>44627</v>
      </c>
      <c r="K107" s="5">
        <v>43609</v>
      </c>
      <c r="L107" s="5">
        <v>44337</v>
      </c>
      <c r="M107" s="12">
        <v>-3567</v>
      </c>
      <c r="N107" s="12">
        <v>87</v>
      </c>
      <c r="O107" s="12">
        <v>-3480</v>
      </c>
      <c r="P107" s="9">
        <v>-7.9050595040223381E-2</v>
      </c>
      <c r="Q107" s="9">
        <v>2.915549597855227E-2</v>
      </c>
      <c r="R107" s="13">
        <v>-7.2338744881202288E-2</v>
      </c>
    </row>
    <row r="108" spans="1:18" x14ac:dyDescent="0.2">
      <c r="A108" s="5">
        <v>43607</v>
      </c>
      <c r="B108" s="12">
        <v>42635</v>
      </c>
      <c r="C108" s="12">
        <v>3189</v>
      </c>
      <c r="D108" s="12">
        <v>45824</v>
      </c>
      <c r="F108" s="5">
        <v>44338</v>
      </c>
      <c r="G108" s="12">
        <v>38732</v>
      </c>
      <c r="H108" s="12">
        <v>657</v>
      </c>
      <c r="I108" s="12">
        <v>39389</v>
      </c>
      <c r="K108" s="5">
        <v>43610</v>
      </c>
      <c r="L108" s="5">
        <v>44338</v>
      </c>
      <c r="M108" s="12">
        <v>-3668</v>
      </c>
      <c r="N108" s="12">
        <v>5</v>
      </c>
      <c r="O108" s="12">
        <v>-3663</v>
      </c>
      <c r="P108" s="9">
        <v>-8.6509433962264182E-2</v>
      </c>
      <c r="Q108" s="9">
        <v>7.6687116564417845E-3</v>
      </c>
      <c r="R108" s="13">
        <v>-8.5083155254111253E-2</v>
      </c>
    </row>
    <row r="109" spans="1:18" x14ac:dyDescent="0.2">
      <c r="A109" s="5">
        <v>43608</v>
      </c>
      <c r="B109" s="12">
        <v>43164</v>
      </c>
      <c r="C109" s="12">
        <v>3245</v>
      </c>
      <c r="D109" s="12">
        <v>46409</v>
      </c>
      <c r="F109" s="5">
        <v>44339</v>
      </c>
      <c r="G109" s="12">
        <v>35602</v>
      </c>
      <c r="H109" s="12">
        <v>142</v>
      </c>
      <c r="I109" s="12">
        <v>35744</v>
      </c>
      <c r="K109" s="5">
        <v>43611</v>
      </c>
      <c r="L109" s="5">
        <v>44339</v>
      </c>
      <c r="M109" s="12">
        <v>-2256</v>
      </c>
      <c r="N109" s="12">
        <v>-84</v>
      </c>
      <c r="O109" s="12">
        <v>-2340</v>
      </c>
      <c r="P109" s="9">
        <v>-5.9591103597654405E-2</v>
      </c>
      <c r="Q109" s="9">
        <v>-0.37168141592920356</v>
      </c>
      <c r="R109" s="13">
        <v>-6.1443125722087988E-2</v>
      </c>
    </row>
    <row r="110" spans="1:18" x14ac:dyDescent="0.2">
      <c r="A110" s="5">
        <v>43609</v>
      </c>
      <c r="B110" s="12">
        <v>45123</v>
      </c>
      <c r="C110" s="12">
        <v>2984</v>
      </c>
      <c r="D110" s="12">
        <v>48107</v>
      </c>
      <c r="F110" s="5">
        <v>44340</v>
      </c>
      <c r="G110" s="12">
        <v>35809</v>
      </c>
      <c r="H110" s="12">
        <v>280</v>
      </c>
      <c r="I110" s="12">
        <v>36089</v>
      </c>
      <c r="K110" s="5">
        <v>43612</v>
      </c>
      <c r="L110" s="5">
        <v>44340</v>
      </c>
      <c r="M110" s="12">
        <v>-6072</v>
      </c>
      <c r="N110" s="12">
        <v>-2787</v>
      </c>
      <c r="O110" s="12">
        <v>-8859</v>
      </c>
      <c r="P110" s="9">
        <v>-0.14498221150402335</v>
      </c>
      <c r="Q110" s="9">
        <v>-0.90870557548092601</v>
      </c>
      <c r="R110" s="13">
        <v>-0.19709442021891965</v>
      </c>
    </row>
    <row r="111" spans="1:18" x14ac:dyDescent="0.2">
      <c r="A111" s="5">
        <v>43610</v>
      </c>
      <c r="B111" s="12">
        <v>42400</v>
      </c>
      <c r="C111" s="12">
        <v>652</v>
      </c>
      <c r="D111" s="12">
        <v>43052</v>
      </c>
      <c r="F111" s="5">
        <v>44341</v>
      </c>
      <c r="G111" s="12">
        <v>39125</v>
      </c>
      <c r="H111" s="12">
        <v>3177</v>
      </c>
      <c r="I111" s="12">
        <v>42302</v>
      </c>
      <c r="K111" s="5">
        <v>43613</v>
      </c>
      <c r="L111" s="5">
        <v>44341</v>
      </c>
      <c r="M111" s="12">
        <v>-2724</v>
      </c>
      <c r="N111" s="12">
        <v>-92</v>
      </c>
      <c r="O111" s="12">
        <v>-2816</v>
      </c>
      <c r="P111" s="9">
        <v>-6.5091161079117832E-2</v>
      </c>
      <c r="Q111" s="9">
        <v>-2.814316304680331E-2</v>
      </c>
      <c r="R111" s="13">
        <v>-6.2414114100802331E-2</v>
      </c>
    </row>
    <row r="112" spans="1:18" x14ac:dyDescent="0.2">
      <c r="A112" s="5">
        <v>43611</v>
      </c>
      <c r="B112" s="12">
        <v>37858</v>
      </c>
      <c r="C112" s="12">
        <v>226</v>
      </c>
      <c r="D112" s="12">
        <v>38084</v>
      </c>
      <c r="F112" s="5">
        <v>44342</v>
      </c>
      <c r="G112" s="12">
        <v>40446</v>
      </c>
      <c r="H112" s="12">
        <v>3379</v>
      </c>
      <c r="I112" s="12">
        <v>43825</v>
      </c>
      <c r="K112" s="5">
        <v>43614</v>
      </c>
      <c r="L112" s="5">
        <v>44342</v>
      </c>
      <c r="M112" s="12">
        <v>-1451</v>
      </c>
      <c r="N112" s="12">
        <v>270</v>
      </c>
      <c r="O112" s="12">
        <v>-1181</v>
      </c>
      <c r="P112" s="9">
        <v>-3.463255125665321E-2</v>
      </c>
      <c r="Q112" s="9">
        <v>8.6844644580250874E-2</v>
      </c>
      <c r="R112" s="13">
        <v>-2.6240945651690883E-2</v>
      </c>
    </row>
    <row r="113" spans="1:18" x14ac:dyDescent="0.2">
      <c r="A113" s="5">
        <v>43612</v>
      </c>
      <c r="B113" s="12">
        <v>41881</v>
      </c>
      <c r="C113" s="12">
        <v>3067</v>
      </c>
      <c r="D113" s="12">
        <v>44948</v>
      </c>
      <c r="F113" s="5">
        <v>44343</v>
      </c>
      <c r="G113" s="12">
        <v>40103</v>
      </c>
      <c r="H113" s="12">
        <v>3317</v>
      </c>
      <c r="I113" s="12">
        <v>43420</v>
      </c>
      <c r="K113" s="5">
        <v>43615</v>
      </c>
      <c r="L113" s="5">
        <v>44343</v>
      </c>
      <c r="M113" s="12">
        <v>6904</v>
      </c>
      <c r="N113" s="12">
        <v>3030</v>
      </c>
      <c r="O113" s="12">
        <v>9934</v>
      </c>
      <c r="P113" s="9">
        <v>0.20795807102623565</v>
      </c>
      <c r="Q113" s="9">
        <v>10.557491289198607</v>
      </c>
      <c r="R113" s="13">
        <v>0.29666129128591057</v>
      </c>
    </row>
    <row r="114" spans="1:18" x14ac:dyDescent="0.2">
      <c r="A114" s="5">
        <v>43613</v>
      </c>
      <c r="B114" s="12">
        <v>41849</v>
      </c>
      <c r="C114" s="12">
        <v>3269</v>
      </c>
      <c r="D114" s="12">
        <v>45118</v>
      </c>
      <c r="F114" s="5">
        <v>44344</v>
      </c>
      <c r="G114" s="12">
        <v>44176</v>
      </c>
      <c r="H114" s="12">
        <v>3165</v>
      </c>
      <c r="I114" s="12">
        <v>47341</v>
      </c>
      <c r="K114" s="5">
        <v>43616</v>
      </c>
      <c r="L114" s="5">
        <v>44344</v>
      </c>
      <c r="M114" s="12">
        <v>5370</v>
      </c>
      <c r="N114" s="12">
        <v>1017</v>
      </c>
      <c r="O114" s="12">
        <v>6387</v>
      </c>
      <c r="P114" s="9">
        <v>0.13838066278410555</v>
      </c>
      <c r="Q114" s="9">
        <v>0.47346368715083798</v>
      </c>
      <c r="R114" s="13">
        <v>0.15595546222591206</v>
      </c>
    </row>
    <row r="115" spans="1:18" x14ac:dyDescent="0.2">
      <c r="A115" s="5">
        <v>43614</v>
      </c>
      <c r="B115" s="12">
        <v>41897</v>
      </c>
      <c r="C115" s="12">
        <v>3109</v>
      </c>
      <c r="D115" s="12">
        <v>45006</v>
      </c>
      <c r="F115" s="5">
        <v>44345</v>
      </c>
      <c r="G115" s="12">
        <v>41936</v>
      </c>
      <c r="H115" s="12">
        <v>646</v>
      </c>
      <c r="I115" s="12">
        <v>42582</v>
      </c>
      <c r="K115" s="5">
        <v>43617</v>
      </c>
      <c r="L115" s="5">
        <v>44345</v>
      </c>
      <c r="M115" s="12">
        <v>2199</v>
      </c>
      <c r="N115" s="12">
        <v>-17</v>
      </c>
      <c r="O115" s="12">
        <v>2182</v>
      </c>
      <c r="P115" s="9">
        <v>5.533885295820018E-2</v>
      </c>
      <c r="Q115" s="9">
        <v>-2.5641025641025661E-2</v>
      </c>
      <c r="R115" s="13">
        <v>5.4009900990098947E-2</v>
      </c>
    </row>
    <row r="116" spans="1:18" x14ac:dyDescent="0.2">
      <c r="A116" s="5">
        <v>43615</v>
      </c>
      <c r="B116" s="12">
        <v>33199</v>
      </c>
      <c r="C116" s="12">
        <v>287</v>
      </c>
      <c r="D116" s="12">
        <v>33486</v>
      </c>
      <c r="F116" s="5">
        <v>44346</v>
      </c>
      <c r="G116" s="12">
        <v>40931</v>
      </c>
      <c r="H116" s="12">
        <v>228</v>
      </c>
      <c r="I116" s="12">
        <v>41159</v>
      </c>
      <c r="K116" s="5">
        <v>43618</v>
      </c>
      <c r="L116" s="5">
        <v>44346</v>
      </c>
      <c r="M116" s="12">
        <v>-817</v>
      </c>
      <c r="N116" s="12">
        <v>-124</v>
      </c>
      <c r="O116" s="12">
        <v>-941</v>
      </c>
      <c r="P116" s="9">
        <v>-1.9569799750886241E-2</v>
      </c>
      <c r="Q116" s="9">
        <v>-0.35227272727272729</v>
      </c>
      <c r="R116" s="13">
        <v>-2.235154394299288E-2</v>
      </c>
    </row>
    <row r="117" spans="1:18" x14ac:dyDescent="0.2">
      <c r="A117" s="5">
        <v>43616</v>
      </c>
      <c r="B117" s="12">
        <v>38806</v>
      </c>
      <c r="C117" s="12">
        <v>2148</v>
      </c>
      <c r="D117" s="12">
        <v>40954</v>
      </c>
      <c r="F117" s="5">
        <v>44347</v>
      </c>
      <c r="G117" s="12">
        <v>39976</v>
      </c>
      <c r="H117" s="12">
        <v>3108</v>
      </c>
      <c r="I117" s="12">
        <v>43084</v>
      </c>
      <c r="K117" s="5">
        <v>43619</v>
      </c>
      <c r="L117" s="5">
        <v>44347</v>
      </c>
      <c r="M117" s="12">
        <f t="shared" ref="M117:O117" si="4">G117-B120</f>
        <v>-2947</v>
      </c>
      <c r="N117" s="12">
        <f t="shared" si="4"/>
        <v>32</v>
      </c>
      <c r="O117" s="12">
        <f t="shared" si="4"/>
        <v>-2915</v>
      </c>
      <c r="P117" s="9">
        <f t="shared" ref="P117:R117" si="5">G117/B120-1</f>
        <v>-6.8657829135894466E-2</v>
      </c>
      <c r="Q117" s="9">
        <f t="shared" si="5"/>
        <v>1.040312093628093E-2</v>
      </c>
      <c r="R117" s="13">
        <f t="shared" si="5"/>
        <v>-6.3370942846583622E-2</v>
      </c>
    </row>
    <row r="118" spans="1:18" x14ac:dyDescent="0.2">
      <c r="A118" s="5">
        <v>43617</v>
      </c>
      <c r="B118" s="12">
        <v>39737</v>
      </c>
      <c r="C118" s="12">
        <v>663</v>
      </c>
      <c r="D118" s="12">
        <v>40400</v>
      </c>
      <c r="F118" s="5"/>
      <c r="G118" s="12"/>
      <c r="H118" s="12"/>
      <c r="I118" s="12"/>
      <c r="L118" s="5"/>
      <c r="M118" s="12"/>
      <c r="N118" s="12"/>
      <c r="O118" s="12"/>
      <c r="P118" s="9"/>
      <c r="Q118" s="9"/>
      <c r="R118" s="13"/>
    </row>
    <row r="119" spans="1:18" x14ac:dyDescent="0.2">
      <c r="A119" s="5">
        <v>43618</v>
      </c>
      <c r="B119" s="12">
        <v>41748</v>
      </c>
      <c r="C119" s="12">
        <v>352</v>
      </c>
      <c r="D119" s="12">
        <v>42100</v>
      </c>
      <c r="F119" s="5"/>
      <c r="G119" s="12"/>
      <c r="H119" s="12"/>
      <c r="I119" s="12"/>
      <c r="K119" s="5"/>
      <c r="L119" s="5"/>
      <c r="M119" s="12"/>
      <c r="N119" s="12"/>
      <c r="O119" s="12"/>
      <c r="P119" s="9"/>
      <c r="Q119" s="9"/>
      <c r="R119" s="13"/>
    </row>
    <row r="120" spans="1:18" x14ac:dyDescent="0.2">
      <c r="A120" s="5">
        <v>43619</v>
      </c>
      <c r="B120" s="12">
        <v>42923</v>
      </c>
      <c r="C120" s="12">
        <v>3076</v>
      </c>
      <c r="D120" s="12">
        <v>45999</v>
      </c>
      <c r="F120" s="5"/>
      <c r="G120" s="12"/>
      <c r="H120" s="12"/>
      <c r="I120" s="12"/>
      <c r="K120" s="5"/>
      <c r="L120" s="5"/>
      <c r="M120" s="12"/>
      <c r="N120" s="12"/>
      <c r="O120" s="12"/>
      <c r="P120" s="9"/>
      <c r="Q120" s="9"/>
      <c r="R120" s="13"/>
    </row>
    <row r="121" spans="1:18" x14ac:dyDescent="0.2">
      <c r="A121" s="5"/>
      <c r="B121" s="12"/>
      <c r="C121" s="12"/>
      <c r="D121" s="12"/>
      <c r="F121" s="5"/>
      <c r="G121" s="12"/>
      <c r="H121" s="12"/>
      <c r="I121" s="12"/>
      <c r="K121" s="5"/>
      <c r="L121" s="5"/>
      <c r="M121" s="12"/>
      <c r="N121" s="12"/>
      <c r="O121" s="12"/>
      <c r="P121" s="9"/>
      <c r="Q121" s="9"/>
      <c r="R121" s="13"/>
    </row>
  </sheetData>
  <mergeCells count="11">
    <mergeCell ref="A85:A86"/>
    <mergeCell ref="F85:F86"/>
    <mergeCell ref="K85:L86"/>
    <mergeCell ref="A47:A48"/>
    <mergeCell ref="F47:F48"/>
    <mergeCell ref="K47:L48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UMF. BERN OST</vt:lpstr>
      <vt:lpstr>SAN BERNARDINO</vt:lpstr>
      <vt:lpstr>BASEL</vt:lpstr>
      <vt:lpstr> CHIASSO</vt:lpstr>
      <vt:lpstr>SIMPLON</vt:lpstr>
      <vt:lpstr>GOTTHARDTUNNEL</vt:lpstr>
      <vt:lpstr>COPPET</vt:lpstr>
      <vt:lpstr>WUERENLOS</vt:lpstr>
      <vt:lpstr>RENENS</vt:lpstr>
      <vt:lpstr>AESCHERTUNNEL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Pirkelbauer Sigrid ASTRA</dc:creator>
  <cp:lastModifiedBy>Zahiri Lirim ASTRA</cp:lastModifiedBy>
  <dcterms:created xsi:type="dcterms:W3CDTF">2020-03-23T19:47:35Z</dcterms:created>
  <dcterms:modified xsi:type="dcterms:W3CDTF">2021-06-07T14:22:01Z</dcterms:modified>
</cp:coreProperties>
</file>